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esktop\"/>
    </mc:Choice>
  </mc:AlternateContent>
  <xr:revisionPtr revIDLastSave="0" documentId="13_ncr:1_{E13D11BC-1A93-4F33-BC03-ED125B17C90A}" xr6:coauthVersionLast="47" xr6:coauthVersionMax="47" xr10:uidLastSave="{00000000-0000-0000-0000-000000000000}"/>
  <bookViews>
    <workbookView xWindow="-120" yWindow="-120" windowWidth="38640" windowHeight="21120" xr2:uid="{6B46FCD5-1ABE-46DD-AE1E-38E9E0DDF9C6}"/>
  </bookViews>
  <sheets>
    <sheet name="18 skaters" sheetId="1" r:id="rId1"/>
    <sheet name="17 skaters" sheetId="2" r:id="rId2"/>
    <sheet name="16 skaters" sheetId="3" r:id="rId3"/>
    <sheet name="15 skate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6" i="4" l="1"/>
  <c r="I36" i="4"/>
  <c r="H36" i="4"/>
  <c r="G36" i="4"/>
  <c r="F36" i="4"/>
  <c r="E36" i="4"/>
  <c r="D36" i="4"/>
  <c r="C36" i="4"/>
  <c r="J35" i="4"/>
  <c r="I35" i="4"/>
  <c r="H35" i="4"/>
  <c r="G35" i="4"/>
  <c r="F35" i="4"/>
  <c r="E35" i="4"/>
  <c r="D35" i="4"/>
  <c r="C35" i="4"/>
  <c r="J34" i="4"/>
  <c r="I34" i="4"/>
  <c r="H34" i="4"/>
  <c r="G34" i="4"/>
  <c r="F34" i="4"/>
  <c r="E34" i="4"/>
  <c r="D34" i="4"/>
  <c r="C34" i="4"/>
  <c r="J33" i="4"/>
  <c r="I33" i="4"/>
  <c r="H33" i="4"/>
  <c r="G33" i="4"/>
  <c r="F33" i="4"/>
  <c r="E33" i="4"/>
  <c r="D33" i="4"/>
  <c r="C33" i="4"/>
  <c r="J32" i="4"/>
  <c r="I32" i="4"/>
  <c r="H32" i="4"/>
  <c r="G32" i="4"/>
  <c r="F32" i="4"/>
  <c r="E32" i="4"/>
  <c r="D32" i="4"/>
  <c r="C32" i="4"/>
  <c r="J31" i="4"/>
  <c r="I31" i="4"/>
  <c r="H31" i="4"/>
  <c r="G31" i="4"/>
  <c r="F31" i="4"/>
  <c r="E31" i="4"/>
  <c r="D31" i="4"/>
  <c r="C31" i="4"/>
  <c r="J30" i="4"/>
  <c r="I30" i="4"/>
  <c r="H30" i="4"/>
  <c r="G30" i="4"/>
  <c r="F30" i="4"/>
  <c r="E30" i="4"/>
  <c r="D30" i="4"/>
  <c r="C30" i="4"/>
  <c r="J29" i="4"/>
  <c r="I29" i="4"/>
  <c r="H29" i="4"/>
  <c r="G29" i="4"/>
  <c r="F29" i="4"/>
  <c r="E29" i="4"/>
  <c r="D29" i="4"/>
  <c r="C29" i="4"/>
  <c r="J28" i="4"/>
  <c r="I28" i="4"/>
  <c r="H28" i="4"/>
  <c r="G28" i="4"/>
  <c r="F28" i="4"/>
  <c r="E28" i="4"/>
  <c r="D28" i="4"/>
  <c r="C28" i="4"/>
  <c r="J27" i="4"/>
  <c r="I27" i="4"/>
  <c r="H27" i="4"/>
  <c r="G27" i="4"/>
  <c r="F27" i="4"/>
  <c r="E27" i="4"/>
  <c r="D27" i="4"/>
  <c r="C27" i="4"/>
  <c r="J26" i="4"/>
  <c r="I26" i="4"/>
  <c r="H26" i="4"/>
  <c r="G26" i="4"/>
  <c r="F26" i="4"/>
  <c r="E26" i="4"/>
  <c r="D26" i="4"/>
  <c r="C26" i="4"/>
  <c r="J25" i="4"/>
  <c r="I25" i="4"/>
  <c r="H25" i="4"/>
  <c r="G25" i="4"/>
  <c r="F25" i="4"/>
  <c r="E25" i="4"/>
  <c r="D25" i="4"/>
  <c r="C25" i="4"/>
  <c r="J24" i="4"/>
  <c r="I24" i="4"/>
  <c r="H24" i="4"/>
  <c r="G24" i="4"/>
  <c r="F24" i="4"/>
  <c r="E24" i="4"/>
  <c r="D24" i="4"/>
  <c r="C24" i="4"/>
  <c r="J23" i="4"/>
  <c r="I23" i="4"/>
  <c r="H23" i="4"/>
  <c r="G23" i="4"/>
  <c r="F23" i="4"/>
  <c r="E23" i="4"/>
  <c r="D23" i="4"/>
  <c r="C23" i="4"/>
  <c r="J22" i="4"/>
  <c r="I22" i="4"/>
  <c r="H22" i="4"/>
  <c r="G22" i="4"/>
  <c r="F22" i="4"/>
  <c r="F37" i="4" s="1"/>
  <c r="E22" i="4"/>
  <c r="E37" i="4" s="1"/>
  <c r="D22" i="4"/>
  <c r="C22" i="4"/>
  <c r="J18" i="4"/>
  <c r="I18" i="4"/>
  <c r="H18" i="4"/>
  <c r="G18" i="4"/>
  <c r="F18" i="4"/>
  <c r="E18" i="4"/>
  <c r="D18" i="4"/>
  <c r="C18" i="4"/>
  <c r="J17" i="4"/>
  <c r="I17" i="4"/>
  <c r="H17" i="4"/>
  <c r="G17" i="4"/>
  <c r="F17" i="4"/>
  <c r="E17" i="4"/>
  <c r="D17" i="4"/>
  <c r="C17" i="4"/>
  <c r="J16" i="4"/>
  <c r="I16" i="4"/>
  <c r="H16" i="4"/>
  <c r="G16" i="4"/>
  <c r="F16" i="4"/>
  <c r="E16" i="4"/>
  <c r="D16" i="4"/>
  <c r="C16" i="4"/>
  <c r="J15" i="4"/>
  <c r="I15" i="4"/>
  <c r="H15" i="4"/>
  <c r="G15" i="4"/>
  <c r="F15" i="4"/>
  <c r="E15" i="4"/>
  <c r="D15" i="4"/>
  <c r="C15" i="4"/>
  <c r="J14" i="4"/>
  <c r="I14" i="4"/>
  <c r="H14" i="4"/>
  <c r="G14" i="4"/>
  <c r="F14" i="4"/>
  <c r="E14" i="4"/>
  <c r="D14" i="4"/>
  <c r="C14" i="4"/>
  <c r="J13" i="4"/>
  <c r="I13" i="4"/>
  <c r="H13" i="4"/>
  <c r="G13" i="4"/>
  <c r="F13" i="4"/>
  <c r="E13" i="4"/>
  <c r="D13" i="4"/>
  <c r="C13" i="4"/>
  <c r="J12" i="4"/>
  <c r="I12" i="4"/>
  <c r="H12" i="4"/>
  <c r="G12" i="4"/>
  <c r="F12" i="4"/>
  <c r="E12" i="4"/>
  <c r="D12" i="4"/>
  <c r="C12" i="4"/>
  <c r="J11" i="4"/>
  <c r="I11" i="4"/>
  <c r="H11" i="4"/>
  <c r="G11" i="4"/>
  <c r="F11" i="4"/>
  <c r="E11" i="4"/>
  <c r="D11" i="4"/>
  <c r="C11" i="4"/>
  <c r="J10" i="4"/>
  <c r="I10" i="4"/>
  <c r="H10" i="4"/>
  <c r="G10" i="4"/>
  <c r="F10" i="4"/>
  <c r="E10" i="4"/>
  <c r="D10" i="4"/>
  <c r="C10" i="4"/>
  <c r="J9" i="4"/>
  <c r="I9" i="4"/>
  <c r="H9" i="4"/>
  <c r="G9" i="4"/>
  <c r="F9" i="4"/>
  <c r="E9" i="4"/>
  <c r="D9" i="4"/>
  <c r="C9" i="4"/>
  <c r="J8" i="4"/>
  <c r="I8" i="4"/>
  <c r="H8" i="4"/>
  <c r="G8" i="4"/>
  <c r="F8" i="4"/>
  <c r="E8" i="4"/>
  <c r="D8" i="4"/>
  <c r="C8" i="4"/>
  <c r="J7" i="4"/>
  <c r="I7" i="4"/>
  <c r="H7" i="4"/>
  <c r="G7" i="4"/>
  <c r="F7" i="4"/>
  <c r="E7" i="4"/>
  <c r="D7" i="4"/>
  <c r="C7" i="4"/>
  <c r="J6" i="4"/>
  <c r="I6" i="4"/>
  <c r="H6" i="4"/>
  <c r="G6" i="4"/>
  <c r="F6" i="4"/>
  <c r="E6" i="4"/>
  <c r="D6" i="4"/>
  <c r="C6" i="4"/>
  <c r="J5" i="4"/>
  <c r="I5" i="4"/>
  <c r="H5" i="4"/>
  <c r="G5" i="4"/>
  <c r="F5" i="4"/>
  <c r="E5" i="4"/>
  <c r="D5" i="4"/>
  <c r="C5" i="4"/>
  <c r="J4" i="4"/>
  <c r="I4" i="4"/>
  <c r="I19" i="4" s="1"/>
  <c r="H4" i="4"/>
  <c r="G4" i="4"/>
  <c r="F4" i="4"/>
  <c r="E4" i="4"/>
  <c r="D4" i="4"/>
  <c r="C4" i="4"/>
  <c r="J38" i="3"/>
  <c r="I38" i="3"/>
  <c r="H38" i="3"/>
  <c r="G38" i="3"/>
  <c r="F38" i="3"/>
  <c r="E38" i="3"/>
  <c r="D38" i="3"/>
  <c r="C38" i="3"/>
  <c r="J37" i="3"/>
  <c r="I37" i="3"/>
  <c r="H37" i="3"/>
  <c r="G37" i="3"/>
  <c r="F37" i="3"/>
  <c r="E37" i="3"/>
  <c r="D37" i="3"/>
  <c r="C37" i="3"/>
  <c r="J36" i="3"/>
  <c r="I36" i="3"/>
  <c r="H36" i="3"/>
  <c r="G36" i="3"/>
  <c r="F36" i="3"/>
  <c r="E36" i="3"/>
  <c r="D36" i="3"/>
  <c r="C36" i="3"/>
  <c r="J35" i="3"/>
  <c r="I35" i="3"/>
  <c r="H35" i="3"/>
  <c r="G35" i="3"/>
  <c r="F35" i="3"/>
  <c r="E35" i="3"/>
  <c r="D35" i="3"/>
  <c r="C35" i="3"/>
  <c r="J34" i="3"/>
  <c r="I34" i="3"/>
  <c r="H34" i="3"/>
  <c r="G34" i="3"/>
  <c r="F34" i="3"/>
  <c r="E34" i="3"/>
  <c r="D34" i="3"/>
  <c r="C34" i="3"/>
  <c r="J33" i="3"/>
  <c r="I33" i="3"/>
  <c r="H33" i="3"/>
  <c r="G33" i="3"/>
  <c r="F33" i="3"/>
  <c r="E33" i="3"/>
  <c r="D33" i="3"/>
  <c r="C33" i="3"/>
  <c r="J32" i="3"/>
  <c r="I32" i="3"/>
  <c r="H32" i="3"/>
  <c r="G32" i="3"/>
  <c r="F32" i="3"/>
  <c r="E32" i="3"/>
  <c r="D32" i="3"/>
  <c r="C32" i="3"/>
  <c r="J31" i="3"/>
  <c r="I31" i="3"/>
  <c r="H31" i="3"/>
  <c r="G31" i="3"/>
  <c r="F31" i="3"/>
  <c r="E31" i="3"/>
  <c r="D31" i="3"/>
  <c r="C31" i="3"/>
  <c r="J30" i="3"/>
  <c r="I30" i="3"/>
  <c r="H30" i="3"/>
  <c r="G30" i="3"/>
  <c r="F30" i="3"/>
  <c r="E30" i="3"/>
  <c r="D30" i="3"/>
  <c r="C30" i="3"/>
  <c r="J29" i="3"/>
  <c r="I29" i="3"/>
  <c r="H29" i="3"/>
  <c r="G29" i="3"/>
  <c r="F29" i="3"/>
  <c r="E29" i="3"/>
  <c r="D29" i="3"/>
  <c r="C29" i="3"/>
  <c r="J28" i="3"/>
  <c r="I28" i="3"/>
  <c r="H28" i="3"/>
  <c r="G28" i="3"/>
  <c r="F28" i="3"/>
  <c r="E28" i="3"/>
  <c r="D28" i="3"/>
  <c r="C28" i="3"/>
  <c r="J27" i="3"/>
  <c r="I27" i="3"/>
  <c r="H27" i="3"/>
  <c r="G27" i="3"/>
  <c r="F27" i="3"/>
  <c r="E27" i="3"/>
  <c r="D27" i="3"/>
  <c r="C27" i="3"/>
  <c r="J26" i="3"/>
  <c r="I26" i="3"/>
  <c r="H26" i="3"/>
  <c r="G26" i="3"/>
  <c r="F26" i="3"/>
  <c r="E26" i="3"/>
  <c r="D26" i="3"/>
  <c r="C26" i="3"/>
  <c r="J25" i="3"/>
  <c r="I25" i="3"/>
  <c r="H25" i="3"/>
  <c r="G25" i="3"/>
  <c r="F25" i="3"/>
  <c r="E25" i="3"/>
  <c r="D25" i="3"/>
  <c r="C25" i="3"/>
  <c r="J24" i="3"/>
  <c r="I24" i="3"/>
  <c r="H24" i="3"/>
  <c r="G24" i="3"/>
  <c r="F24" i="3"/>
  <c r="E24" i="3"/>
  <c r="D24" i="3"/>
  <c r="C24" i="3"/>
  <c r="J23" i="3"/>
  <c r="J39" i="3" s="1"/>
  <c r="I23" i="3"/>
  <c r="H23" i="3"/>
  <c r="G23" i="3"/>
  <c r="F23" i="3"/>
  <c r="F39" i="3" s="1"/>
  <c r="E23" i="3"/>
  <c r="E39" i="3" s="1"/>
  <c r="D23" i="3"/>
  <c r="C23" i="3"/>
  <c r="J19" i="3"/>
  <c r="I19" i="3"/>
  <c r="H19" i="3"/>
  <c r="G19" i="3"/>
  <c r="F19" i="3"/>
  <c r="E19" i="3"/>
  <c r="D19" i="3"/>
  <c r="C19" i="3"/>
  <c r="J18" i="3"/>
  <c r="I18" i="3"/>
  <c r="H18" i="3"/>
  <c r="G18" i="3"/>
  <c r="F18" i="3"/>
  <c r="E18" i="3"/>
  <c r="D18" i="3"/>
  <c r="C18" i="3"/>
  <c r="J17" i="3"/>
  <c r="I17" i="3"/>
  <c r="H17" i="3"/>
  <c r="G17" i="3"/>
  <c r="F17" i="3"/>
  <c r="E17" i="3"/>
  <c r="D17" i="3"/>
  <c r="C17" i="3"/>
  <c r="J16" i="3"/>
  <c r="I16" i="3"/>
  <c r="H16" i="3"/>
  <c r="G16" i="3"/>
  <c r="F16" i="3"/>
  <c r="E16" i="3"/>
  <c r="D16" i="3"/>
  <c r="C16" i="3"/>
  <c r="J15" i="3"/>
  <c r="I15" i="3"/>
  <c r="H15" i="3"/>
  <c r="G15" i="3"/>
  <c r="F15" i="3"/>
  <c r="E15" i="3"/>
  <c r="D15" i="3"/>
  <c r="C15" i="3"/>
  <c r="J14" i="3"/>
  <c r="I14" i="3"/>
  <c r="H14" i="3"/>
  <c r="G14" i="3"/>
  <c r="F14" i="3"/>
  <c r="E14" i="3"/>
  <c r="D14" i="3"/>
  <c r="C14" i="3"/>
  <c r="J13" i="3"/>
  <c r="I13" i="3"/>
  <c r="H13" i="3"/>
  <c r="G13" i="3"/>
  <c r="F13" i="3"/>
  <c r="E13" i="3"/>
  <c r="D13" i="3"/>
  <c r="C13" i="3"/>
  <c r="J12" i="3"/>
  <c r="I12" i="3"/>
  <c r="H12" i="3"/>
  <c r="G12" i="3"/>
  <c r="F12" i="3"/>
  <c r="E12" i="3"/>
  <c r="D12" i="3"/>
  <c r="C12" i="3"/>
  <c r="J11" i="3"/>
  <c r="I11" i="3"/>
  <c r="H11" i="3"/>
  <c r="G11" i="3"/>
  <c r="F11" i="3"/>
  <c r="E11" i="3"/>
  <c r="D11" i="3"/>
  <c r="C11" i="3"/>
  <c r="J10" i="3"/>
  <c r="I10" i="3"/>
  <c r="H10" i="3"/>
  <c r="G10" i="3"/>
  <c r="F10" i="3"/>
  <c r="E10" i="3"/>
  <c r="D10" i="3"/>
  <c r="C10" i="3"/>
  <c r="J9" i="3"/>
  <c r="I9" i="3"/>
  <c r="H9" i="3"/>
  <c r="G9" i="3"/>
  <c r="F9" i="3"/>
  <c r="E9" i="3"/>
  <c r="D9" i="3"/>
  <c r="C9" i="3"/>
  <c r="J8" i="3"/>
  <c r="I8" i="3"/>
  <c r="H8" i="3"/>
  <c r="G8" i="3"/>
  <c r="F8" i="3"/>
  <c r="E8" i="3"/>
  <c r="D8" i="3"/>
  <c r="C8" i="3"/>
  <c r="J7" i="3"/>
  <c r="I7" i="3"/>
  <c r="H7" i="3"/>
  <c r="G7" i="3"/>
  <c r="F7" i="3"/>
  <c r="E7" i="3"/>
  <c r="D7" i="3"/>
  <c r="C7" i="3"/>
  <c r="J6" i="3"/>
  <c r="I6" i="3"/>
  <c r="H6" i="3"/>
  <c r="G6" i="3"/>
  <c r="F6" i="3"/>
  <c r="E6" i="3"/>
  <c r="D6" i="3"/>
  <c r="C6" i="3"/>
  <c r="J5" i="3"/>
  <c r="I5" i="3"/>
  <c r="H5" i="3"/>
  <c r="G5" i="3"/>
  <c r="F5" i="3"/>
  <c r="E5" i="3"/>
  <c r="D5" i="3"/>
  <c r="C5" i="3"/>
  <c r="J4" i="3"/>
  <c r="I4" i="3"/>
  <c r="H4" i="3"/>
  <c r="G4" i="3"/>
  <c r="F4" i="3"/>
  <c r="E4" i="3"/>
  <c r="D4" i="3"/>
  <c r="C4" i="3"/>
  <c r="J40" i="2"/>
  <c r="I40" i="2"/>
  <c r="H40" i="2"/>
  <c r="G40" i="2"/>
  <c r="F40" i="2"/>
  <c r="E40" i="2"/>
  <c r="D40" i="2"/>
  <c r="C40" i="2"/>
  <c r="J39" i="2"/>
  <c r="I39" i="2"/>
  <c r="H39" i="2"/>
  <c r="G39" i="2"/>
  <c r="F39" i="2"/>
  <c r="E39" i="2"/>
  <c r="D39" i="2"/>
  <c r="C39" i="2"/>
  <c r="J38" i="2"/>
  <c r="I38" i="2"/>
  <c r="H38" i="2"/>
  <c r="G38" i="2"/>
  <c r="F38" i="2"/>
  <c r="E38" i="2"/>
  <c r="D38" i="2"/>
  <c r="C38" i="2"/>
  <c r="J37" i="2"/>
  <c r="I37" i="2"/>
  <c r="H37" i="2"/>
  <c r="G37" i="2"/>
  <c r="F37" i="2"/>
  <c r="E37" i="2"/>
  <c r="D37" i="2"/>
  <c r="C37" i="2"/>
  <c r="J36" i="2"/>
  <c r="I36" i="2"/>
  <c r="H36" i="2"/>
  <c r="G36" i="2"/>
  <c r="F36" i="2"/>
  <c r="E36" i="2"/>
  <c r="D36" i="2"/>
  <c r="C36" i="2"/>
  <c r="J35" i="2"/>
  <c r="I35" i="2"/>
  <c r="H35" i="2"/>
  <c r="G35" i="2"/>
  <c r="F35" i="2"/>
  <c r="E35" i="2"/>
  <c r="D35" i="2"/>
  <c r="C35" i="2"/>
  <c r="J34" i="2"/>
  <c r="I34" i="2"/>
  <c r="H34" i="2"/>
  <c r="G34" i="2"/>
  <c r="F34" i="2"/>
  <c r="E34" i="2"/>
  <c r="D34" i="2"/>
  <c r="C34" i="2"/>
  <c r="J33" i="2"/>
  <c r="I33" i="2"/>
  <c r="H33" i="2"/>
  <c r="G33" i="2"/>
  <c r="F33" i="2"/>
  <c r="E33" i="2"/>
  <c r="D33" i="2"/>
  <c r="C33" i="2"/>
  <c r="J32" i="2"/>
  <c r="I32" i="2"/>
  <c r="H32" i="2"/>
  <c r="G32" i="2"/>
  <c r="F32" i="2"/>
  <c r="E32" i="2"/>
  <c r="D32" i="2"/>
  <c r="C32" i="2"/>
  <c r="J31" i="2"/>
  <c r="I31" i="2"/>
  <c r="H31" i="2"/>
  <c r="G31" i="2"/>
  <c r="F31" i="2"/>
  <c r="E31" i="2"/>
  <c r="D31" i="2"/>
  <c r="C31" i="2"/>
  <c r="J30" i="2"/>
  <c r="I30" i="2"/>
  <c r="H30" i="2"/>
  <c r="G30" i="2"/>
  <c r="F30" i="2"/>
  <c r="E30" i="2"/>
  <c r="D30" i="2"/>
  <c r="C30" i="2"/>
  <c r="J29" i="2"/>
  <c r="I29" i="2"/>
  <c r="H29" i="2"/>
  <c r="G29" i="2"/>
  <c r="F29" i="2"/>
  <c r="E29" i="2"/>
  <c r="D29" i="2"/>
  <c r="C29" i="2"/>
  <c r="J28" i="2"/>
  <c r="I28" i="2"/>
  <c r="H28" i="2"/>
  <c r="G28" i="2"/>
  <c r="F28" i="2"/>
  <c r="E28" i="2"/>
  <c r="D28" i="2"/>
  <c r="C28" i="2"/>
  <c r="J27" i="2"/>
  <c r="I27" i="2"/>
  <c r="H27" i="2"/>
  <c r="G27" i="2"/>
  <c r="F27" i="2"/>
  <c r="E27" i="2"/>
  <c r="D27" i="2"/>
  <c r="C27" i="2"/>
  <c r="J26" i="2"/>
  <c r="I26" i="2"/>
  <c r="H26" i="2"/>
  <c r="G26" i="2"/>
  <c r="F26" i="2"/>
  <c r="E26" i="2"/>
  <c r="D26" i="2"/>
  <c r="C26" i="2"/>
  <c r="J25" i="2"/>
  <c r="I25" i="2"/>
  <c r="H25" i="2"/>
  <c r="G25" i="2"/>
  <c r="F25" i="2"/>
  <c r="E25" i="2"/>
  <c r="D25" i="2"/>
  <c r="C25" i="2"/>
  <c r="J24" i="2"/>
  <c r="I24" i="2"/>
  <c r="H24" i="2"/>
  <c r="G24" i="2"/>
  <c r="F24" i="2"/>
  <c r="F41" i="2" s="1"/>
  <c r="E24" i="2"/>
  <c r="E41" i="2" s="1"/>
  <c r="D24" i="2"/>
  <c r="C24" i="2"/>
  <c r="J20" i="2"/>
  <c r="I20" i="2"/>
  <c r="H20" i="2"/>
  <c r="G20" i="2"/>
  <c r="F20" i="2"/>
  <c r="E20" i="2"/>
  <c r="D20" i="2"/>
  <c r="C20" i="2"/>
  <c r="J19" i="2"/>
  <c r="I19" i="2"/>
  <c r="H19" i="2"/>
  <c r="G19" i="2"/>
  <c r="F19" i="2"/>
  <c r="E19" i="2"/>
  <c r="D19" i="2"/>
  <c r="C19" i="2"/>
  <c r="J18" i="2"/>
  <c r="I18" i="2"/>
  <c r="H18" i="2"/>
  <c r="G18" i="2"/>
  <c r="F18" i="2"/>
  <c r="E18" i="2"/>
  <c r="D18" i="2"/>
  <c r="C18" i="2"/>
  <c r="J17" i="2"/>
  <c r="I17" i="2"/>
  <c r="H17" i="2"/>
  <c r="G17" i="2"/>
  <c r="F17" i="2"/>
  <c r="E17" i="2"/>
  <c r="D17" i="2"/>
  <c r="C17" i="2"/>
  <c r="J16" i="2"/>
  <c r="I16" i="2"/>
  <c r="H16" i="2"/>
  <c r="G16" i="2"/>
  <c r="F16" i="2"/>
  <c r="E16" i="2"/>
  <c r="D16" i="2"/>
  <c r="C16" i="2"/>
  <c r="J15" i="2"/>
  <c r="I15" i="2"/>
  <c r="H15" i="2"/>
  <c r="G15" i="2"/>
  <c r="F15" i="2"/>
  <c r="E15" i="2"/>
  <c r="D15" i="2"/>
  <c r="C15" i="2"/>
  <c r="J14" i="2"/>
  <c r="I14" i="2"/>
  <c r="H14" i="2"/>
  <c r="G14" i="2"/>
  <c r="F14" i="2"/>
  <c r="E14" i="2"/>
  <c r="D14" i="2"/>
  <c r="C14" i="2"/>
  <c r="J13" i="2"/>
  <c r="I13" i="2"/>
  <c r="H13" i="2"/>
  <c r="G13" i="2"/>
  <c r="F13" i="2"/>
  <c r="E13" i="2"/>
  <c r="D13" i="2"/>
  <c r="C13" i="2"/>
  <c r="J12" i="2"/>
  <c r="I12" i="2"/>
  <c r="H12" i="2"/>
  <c r="G12" i="2"/>
  <c r="F12" i="2"/>
  <c r="E12" i="2"/>
  <c r="D12" i="2"/>
  <c r="C12" i="2"/>
  <c r="J11" i="2"/>
  <c r="I11" i="2"/>
  <c r="H11" i="2"/>
  <c r="G11" i="2"/>
  <c r="F11" i="2"/>
  <c r="E11" i="2"/>
  <c r="D11" i="2"/>
  <c r="C11" i="2"/>
  <c r="J10" i="2"/>
  <c r="I10" i="2"/>
  <c r="H10" i="2"/>
  <c r="G10" i="2"/>
  <c r="F10" i="2"/>
  <c r="E10" i="2"/>
  <c r="D10" i="2"/>
  <c r="C10" i="2"/>
  <c r="J9" i="2"/>
  <c r="I9" i="2"/>
  <c r="H9" i="2"/>
  <c r="G9" i="2"/>
  <c r="F9" i="2"/>
  <c r="E9" i="2"/>
  <c r="D9" i="2"/>
  <c r="C9" i="2"/>
  <c r="J8" i="2"/>
  <c r="I8" i="2"/>
  <c r="H8" i="2"/>
  <c r="G8" i="2"/>
  <c r="F8" i="2"/>
  <c r="E8" i="2"/>
  <c r="D8" i="2"/>
  <c r="C8" i="2"/>
  <c r="J7" i="2"/>
  <c r="I7" i="2"/>
  <c r="H7" i="2"/>
  <c r="G7" i="2"/>
  <c r="F7" i="2"/>
  <c r="E7" i="2"/>
  <c r="D7" i="2"/>
  <c r="C7" i="2"/>
  <c r="J6" i="2"/>
  <c r="I6" i="2"/>
  <c r="H6" i="2"/>
  <c r="G6" i="2"/>
  <c r="F6" i="2"/>
  <c r="E6" i="2"/>
  <c r="D6" i="2"/>
  <c r="C6" i="2"/>
  <c r="J5" i="2"/>
  <c r="I5" i="2"/>
  <c r="H5" i="2"/>
  <c r="G5" i="2"/>
  <c r="F5" i="2"/>
  <c r="E5" i="2"/>
  <c r="D5" i="2"/>
  <c r="C5" i="2"/>
  <c r="J4" i="2"/>
  <c r="I4" i="2"/>
  <c r="H4" i="2"/>
  <c r="G4" i="2"/>
  <c r="F4" i="2"/>
  <c r="E4" i="2"/>
  <c r="D4" i="2"/>
  <c r="C4" i="2"/>
  <c r="J42" i="1"/>
  <c r="I42" i="1"/>
  <c r="H42" i="1"/>
  <c r="G42" i="1"/>
  <c r="F42" i="1"/>
  <c r="E42" i="1"/>
  <c r="D42" i="1"/>
  <c r="C42" i="1"/>
  <c r="J41" i="1"/>
  <c r="I41" i="1"/>
  <c r="H41" i="1"/>
  <c r="G41" i="1"/>
  <c r="F41" i="1"/>
  <c r="E41" i="1"/>
  <c r="D41" i="1"/>
  <c r="C41" i="1"/>
  <c r="J40" i="1"/>
  <c r="I40" i="1"/>
  <c r="H40" i="1"/>
  <c r="G40" i="1"/>
  <c r="F40" i="1"/>
  <c r="E40" i="1"/>
  <c r="D40" i="1"/>
  <c r="C40" i="1"/>
  <c r="J39" i="1"/>
  <c r="I39" i="1"/>
  <c r="H39" i="1"/>
  <c r="G39" i="1"/>
  <c r="F39" i="1"/>
  <c r="E39" i="1"/>
  <c r="D39" i="1"/>
  <c r="C39" i="1"/>
  <c r="J38" i="1"/>
  <c r="I38" i="1"/>
  <c r="H38" i="1"/>
  <c r="G38" i="1"/>
  <c r="F38" i="1"/>
  <c r="E38" i="1"/>
  <c r="D38" i="1"/>
  <c r="C38" i="1"/>
  <c r="J37" i="1"/>
  <c r="I37" i="1"/>
  <c r="H37" i="1"/>
  <c r="G37" i="1"/>
  <c r="F37" i="1"/>
  <c r="E37" i="1"/>
  <c r="D37" i="1"/>
  <c r="C37" i="1"/>
  <c r="J36" i="1"/>
  <c r="I36" i="1"/>
  <c r="H36" i="1"/>
  <c r="G36" i="1"/>
  <c r="F36" i="1"/>
  <c r="E36" i="1"/>
  <c r="D36" i="1"/>
  <c r="C36" i="1"/>
  <c r="J35" i="1"/>
  <c r="I35" i="1"/>
  <c r="H35" i="1"/>
  <c r="G35" i="1"/>
  <c r="F35" i="1"/>
  <c r="E35" i="1"/>
  <c r="D35" i="1"/>
  <c r="C35" i="1"/>
  <c r="J34" i="1"/>
  <c r="I34" i="1"/>
  <c r="H34" i="1"/>
  <c r="G34" i="1"/>
  <c r="F34" i="1"/>
  <c r="E34" i="1"/>
  <c r="D34" i="1"/>
  <c r="C34" i="1"/>
  <c r="J33" i="1"/>
  <c r="I33" i="1"/>
  <c r="H33" i="1"/>
  <c r="G33" i="1"/>
  <c r="F33" i="1"/>
  <c r="E33" i="1"/>
  <c r="D33" i="1"/>
  <c r="C33" i="1"/>
  <c r="J32" i="1"/>
  <c r="I32" i="1"/>
  <c r="H32" i="1"/>
  <c r="G32" i="1"/>
  <c r="F32" i="1"/>
  <c r="E32" i="1"/>
  <c r="D32" i="1"/>
  <c r="C32" i="1"/>
  <c r="J31" i="1"/>
  <c r="I31" i="1"/>
  <c r="H31" i="1"/>
  <c r="G31" i="1"/>
  <c r="F31" i="1"/>
  <c r="E31" i="1"/>
  <c r="D31" i="1"/>
  <c r="C31" i="1"/>
  <c r="J30" i="1"/>
  <c r="I30" i="1"/>
  <c r="H30" i="1"/>
  <c r="G30" i="1"/>
  <c r="F30" i="1"/>
  <c r="E30" i="1"/>
  <c r="D30" i="1"/>
  <c r="C30" i="1"/>
  <c r="J29" i="1"/>
  <c r="I29" i="1"/>
  <c r="H29" i="1"/>
  <c r="G29" i="1"/>
  <c r="F29" i="1"/>
  <c r="E29" i="1"/>
  <c r="D29" i="1"/>
  <c r="C29" i="1"/>
  <c r="J28" i="1"/>
  <c r="I28" i="1"/>
  <c r="H28" i="1"/>
  <c r="G28" i="1"/>
  <c r="F28" i="1"/>
  <c r="E28" i="1"/>
  <c r="D28" i="1"/>
  <c r="C28" i="1"/>
  <c r="J27" i="1"/>
  <c r="I27" i="1"/>
  <c r="H27" i="1"/>
  <c r="G27" i="1"/>
  <c r="F27" i="1"/>
  <c r="E27" i="1"/>
  <c r="D27" i="1"/>
  <c r="C27" i="1"/>
  <c r="J26" i="1"/>
  <c r="I26" i="1"/>
  <c r="H26" i="1"/>
  <c r="G26" i="1"/>
  <c r="F26" i="1"/>
  <c r="E26" i="1"/>
  <c r="D26" i="1"/>
  <c r="C26" i="1"/>
  <c r="J25" i="1"/>
  <c r="I25" i="1"/>
  <c r="H25" i="1"/>
  <c r="G25" i="1"/>
  <c r="F25" i="1"/>
  <c r="E25" i="1"/>
  <c r="D25" i="1"/>
  <c r="C25" i="1"/>
  <c r="C5" i="1"/>
  <c r="D5" i="1"/>
  <c r="E5" i="1"/>
  <c r="F5" i="1"/>
  <c r="G5" i="1"/>
  <c r="H5" i="1"/>
  <c r="I5" i="1"/>
  <c r="J5" i="1"/>
  <c r="C6" i="1"/>
  <c r="D6" i="1"/>
  <c r="E6" i="1"/>
  <c r="F6" i="1"/>
  <c r="G6" i="1"/>
  <c r="H6" i="1"/>
  <c r="I6" i="1"/>
  <c r="J6" i="1"/>
  <c r="C7" i="1"/>
  <c r="D7" i="1"/>
  <c r="E7" i="1"/>
  <c r="F7" i="1"/>
  <c r="G7" i="1"/>
  <c r="H7" i="1"/>
  <c r="I7" i="1"/>
  <c r="J7" i="1"/>
  <c r="C8" i="1"/>
  <c r="D8" i="1"/>
  <c r="E8" i="1"/>
  <c r="F8" i="1"/>
  <c r="G8" i="1"/>
  <c r="H8" i="1"/>
  <c r="I8" i="1"/>
  <c r="J8" i="1"/>
  <c r="C9" i="1"/>
  <c r="D9" i="1"/>
  <c r="E9" i="1"/>
  <c r="F9" i="1"/>
  <c r="G9" i="1"/>
  <c r="H9" i="1"/>
  <c r="I9" i="1"/>
  <c r="J9" i="1"/>
  <c r="C10" i="1"/>
  <c r="D10" i="1"/>
  <c r="E10" i="1"/>
  <c r="F10" i="1"/>
  <c r="G10" i="1"/>
  <c r="H10" i="1"/>
  <c r="I10" i="1"/>
  <c r="J10" i="1"/>
  <c r="C11" i="1"/>
  <c r="D11" i="1"/>
  <c r="E11" i="1"/>
  <c r="F11" i="1"/>
  <c r="G11" i="1"/>
  <c r="H11" i="1"/>
  <c r="I11" i="1"/>
  <c r="J11" i="1"/>
  <c r="C12" i="1"/>
  <c r="D12" i="1"/>
  <c r="E12" i="1"/>
  <c r="F12" i="1"/>
  <c r="G12" i="1"/>
  <c r="H12" i="1"/>
  <c r="I12" i="1"/>
  <c r="J12" i="1"/>
  <c r="C13" i="1"/>
  <c r="D13" i="1"/>
  <c r="E13" i="1"/>
  <c r="F13" i="1"/>
  <c r="G13" i="1"/>
  <c r="H13" i="1"/>
  <c r="I13" i="1"/>
  <c r="J13" i="1"/>
  <c r="C14" i="1"/>
  <c r="D14" i="1"/>
  <c r="E14" i="1"/>
  <c r="F14" i="1"/>
  <c r="G14" i="1"/>
  <c r="H14" i="1"/>
  <c r="I14" i="1"/>
  <c r="J14" i="1"/>
  <c r="C15" i="1"/>
  <c r="D15" i="1"/>
  <c r="E15" i="1"/>
  <c r="F15" i="1"/>
  <c r="G15" i="1"/>
  <c r="H15" i="1"/>
  <c r="I15" i="1"/>
  <c r="J15" i="1"/>
  <c r="C16" i="1"/>
  <c r="D16" i="1"/>
  <c r="E16" i="1"/>
  <c r="F16" i="1"/>
  <c r="G16" i="1"/>
  <c r="H16" i="1"/>
  <c r="I16" i="1"/>
  <c r="J16" i="1"/>
  <c r="C17" i="1"/>
  <c r="D17" i="1"/>
  <c r="E17" i="1"/>
  <c r="F17" i="1"/>
  <c r="G17" i="1"/>
  <c r="H17" i="1"/>
  <c r="I17" i="1"/>
  <c r="J17" i="1"/>
  <c r="C18" i="1"/>
  <c r="D18" i="1"/>
  <c r="E18" i="1"/>
  <c r="F18" i="1"/>
  <c r="G18" i="1"/>
  <c r="H18" i="1"/>
  <c r="I18" i="1"/>
  <c r="J18" i="1"/>
  <c r="C19" i="1"/>
  <c r="D19" i="1"/>
  <c r="E19" i="1"/>
  <c r="F19" i="1"/>
  <c r="G19" i="1"/>
  <c r="H19" i="1"/>
  <c r="I19" i="1"/>
  <c r="J19" i="1"/>
  <c r="C20" i="1"/>
  <c r="D20" i="1"/>
  <c r="E20" i="1"/>
  <c r="F20" i="1"/>
  <c r="G20" i="1"/>
  <c r="H20" i="1"/>
  <c r="I20" i="1"/>
  <c r="J20" i="1"/>
  <c r="C21" i="1"/>
  <c r="D21" i="1"/>
  <c r="E21" i="1"/>
  <c r="F21" i="1"/>
  <c r="G21" i="1"/>
  <c r="H21" i="1"/>
  <c r="I21" i="1"/>
  <c r="J21" i="1"/>
  <c r="J4" i="1"/>
  <c r="I4" i="1"/>
  <c r="H4" i="1"/>
  <c r="G4" i="1"/>
  <c r="F4" i="1"/>
  <c r="E4" i="1"/>
  <c r="E22" i="1" s="1"/>
  <c r="D4" i="1"/>
  <c r="C4" i="1"/>
  <c r="F20" i="3" l="1"/>
  <c r="E20" i="3"/>
  <c r="I39" i="3"/>
  <c r="H19" i="4"/>
  <c r="J19" i="4"/>
  <c r="I37" i="4"/>
  <c r="J37" i="4"/>
  <c r="H37" i="4"/>
  <c r="C19" i="4"/>
  <c r="D37" i="4"/>
  <c r="D19" i="4"/>
  <c r="E19" i="4"/>
  <c r="C37" i="4"/>
  <c r="G37" i="4"/>
  <c r="F19" i="4"/>
  <c r="G19" i="4"/>
  <c r="G20" i="3"/>
  <c r="G39" i="3"/>
  <c r="D20" i="3"/>
  <c r="I20" i="3"/>
  <c r="H39" i="3"/>
  <c r="C20" i="3"/>
  <c r="H20" i="3"/>
  <c r="D39" i="3"/>
  <c r="C39" i="3"/>
  <c r="J20" i="3"/>
  <c r="J21" i="2"/>
  <c r="D41" i="2"/>
  <c r="I41" i="2"/>
  <c r="C41" i="2"/>
  <c r="G21" i="2"/>
  <c r="G41" i="2"/>
  <c r="H41" i="2"/>
  <c r="J41" i="2"/>
  <c r="C21" i="2"/>
  <c r="I21" i="2"/>
  <c r="D21" i="2"/>
  <c r="E21" i="2"/>
  <c r="H21" i="2"/>
  <c r="F21" i="2"/>
  <c r="F43" i="1"/>
  <c r="F22" i="1"/>
  <c r="E43" i="1"/>
  <c r="H22" i="1"/>
  <c r="I43" i="1"/>
  <c r="G22" i="1"/>
  <c r="G43" i="1"/>
  <c r="H43" i="1"/>
  <c r="J43" i="1"/>
  <c r="J22" i="1"/>
  <c r="C22" i="1"/>
  <c r="C43" i="1"/>
  <c r="D22" i="1"/>
  <c r="D43" i="1"/>
  <c r="I22" i="1"/>
</calcChain>
</file>

<file path=xl/sharedStrings.xml><?xml version="1.0" encoding="utf-8"?>
<sst xmlns="http://schemas.openxmlformats.org/spreadsheetml/2006/main" count="232" uniqueCount="153">
  <si>
    <t>PLAYER                         SOG(OS-IS-RB)  TA  H DefTO OffTO TotTO</t>
  </si>
  <si>
    <t>OS</t>
  </si>
  <si>
    <t>IS</t>
  </si>
  <si>
    <t>RB</t>
  </si>
  <si>
    <t>TA</t>
  </si>
  <si>
    <t>H</t>
  </si>
  <si>
    <t>DefTO</t>
  </si>
  <si>
    <t>OffTO</t>
  </si>
  <si>
    <t>TotTO</t>
  </si>
  <si>
    <t>Select Report &gt; Strat-O-Matic Statistics</t>
  </si>
  <si>
    <t>right click, Select All</t>
  </si>
  <si>
    <t>right click, Copy</t>
  </si>
  <si>
    <t>click cell A1, then paste</t>
  </si>
  <si>
    <t>Player Stats For New Jersey NJD</t>
  </si>
  <si>
    <t>KIRK MULLER                    (0-1-0)         0  1     0     0     0</t>
  </si>
  <si>
    <t>PAT VERBEEK                    (0-4-0)         0  0     1     1     2</t>
  </si>
  <si>
    <t>PATRIK SUNDSTROM               (0-1-1)         0  0     0     0     0</t>
  </si>
  <si>
    <t>BRENDAN SHANAHAN               (1-2-0)         0  0     0     1     1</t>
  </si>
  <si>
    <t>AARON BROTEN                   (0-1-0)         0  0     1     0     1</t>
  </si>
  <si>
    <t>TOM KURVERS                    (4-0-0)         1  0     0     0     0</t>
  </si>
  <si>
    <t>JIM KORN                       (1-1-0)         0  0     0     1     1</t>
  </si>
  <si>
    <t>DOUG BROWN                     (1-0-0)         0  1     0     0     0</t>
  </si>
  <si>
    <t>MARK JOHNSON                   (0-3-0)         0  0     3     0     3</t>
  </si>
  <si>
    <t>TOMMY ALBELIN                  (1-2-0)         1  0     0     0     0</t>
  </si>
  <si>
    <t>CLAUDE LOISELLE                (1-3-0)         0  1     0     0     0</t>
  </si>
  <si>
    <t>PAT CONACHER                   (1-1-0)         2  0     0     1     1</t>
  </si>
  <si>
    <t>ANDERS CARLSSON                (0-0-0)         0  0     0     0     0</t>
  </si>
  <si>
    <t>KEN DANEYKO                    (0-0-0)         0  1     0     0     0</t>
  </si>
  <si>
    <t>JOE CIRELLA                    (0-0-0)         0  1     0     1     1</t>
  </si>
  <si>
    <t>JACK O'CALLAHAN                (3-1-0)         0  0     0     0     0</t>
  </si>
  <si>
    <t>BRUCE DRIVER                   (2-0-1)         1  0     0     0     0</t>
  </si>
  <si>
    <t>Player Stats For New York NYR</t>
  </si>
  <si>
    <t>TONY GRANATO                   (2-3-1)         0  0     0     0     0</t>
  </si>
  <si>
    <t>KELLY KISIO                    (0-2-2)         0  0     0     0     0</t>
  </si>
  <si>
    <t>TOMAS SANDSTROM                (0-0-1)         0  0     0     2     2</t>
  </si>
  <si>
    <t>BRIAN MULLEN                   (0-0-1)         0  0     1     0     1</t>
  </si>
  <si>
    <t>CAREY WILSON                   (2-0-1)         1  0     1     1     2</t>
  </si>
  <si>
    <t>ULF DAHLEN                     (0-3-0)         0  0     0     1     1</t>
  </si>
  <si>
    <t>BRIAN LEETCH                   (2-0-1)         0  0     0     0     0</t>
  </si>
  <si>
    <t>JOHN OGRODNICK                 (0-3-1)         0  0     0     0     0</t>
  </si>
  <si>
    <t>GUY LAFLEUR                    (1-0-0)         0  0     2     1     3</t>
  </si>
  <si>
    <t>LUCIEN DeBLOIS                 (3-1-1)         0  1     0     0     0</t>
  </si>
  <si>
    <t>JAMES PATRICK                  (2-0-0)         0  0     1     0     1</t>
  </si>
  <si>
    <t>JASON LAFRENIERE               (0-1-1)         0  0     0     1     1</t>
  </si>
  <si>
    <t>DARREN TURCOTTE                (0-0-0)         0  0     0     0     0</t>
  </si>
  <si>
    <t>MARK HARDY                     (1-0-0)         0  1     0     1     1</t>
  </si>
  <si>
    <t>JAN ERIXON                     (0-0-0)         0  0     0     0     0</t>
  </si>
  <si>
    <t>MICHEL PETIT                   (1-0-0)         0  0     0     0     0</t>
  </si>
  <si>
    <t>DAVID SHAW                     (2-0-0)         0  0     0     1     1</t>
  </si>
  <si>
    <t>RON GRESCHNER                  (0-0-0)         0  2     3     0     3</t>
  </si>
  <si>
    <t>JOHN MacLEAN                   (1-2-3)         4  5     6     7     8</t>
  </si>
  <si>
    <t>(CLICK HERE AND PASTE)</t>
  </si>
  <si>
    <t>Player Stats For Boston BOS</t>
  </si>
  <si>
    <t>MILT SCHMIDT                   (1-0-1)         0  0     0     1     1</t>
  </si>
  <si>
    <t>JOHNNY PEIRSON                 (0-2-1)         0  1     0     2     2</t>
  </si>
  <si>
    <t>DUNC FISHER                    (1-3-1)         1  0     1     1     2</t>
  </si>
  <si>
    <t>DAVE CREIGHTON                 (3-1-1)         0  0     0     0     0</t>
  </si>
  <si>
    <t>ED SANDFORD                    (1-1-1)         1  1     0     0     0</t>
  </si>
  <si>
    <t>JACK McINTYRE                  (0-2-0)         0  0     0     0     0</t>
  </si>
  <si>
    <t>RED SULLIVAN                   (1-0-0)         0  0     0     1     1</t>
  </si>
  <si>
    <t>ADAM BROWN                     (1-1-0)         0  1     0     0     0</t>
  </si>
  <si>
    <t>WOODY DUMART                   (2-0-0)         2  0     0     1     1</t>
  </si>
  <si>
    <t>HAL LAYCOE                     (0-0-0)         0  1     0     0     0</t>
  </si>
  <si>
    <t>BILL QUACKENBUSH               (1-1-0)         3  1     0     1     1</t>
  </si>
  <si>
    <t>VIC LYNN                       (0-0-0)         0  0     0     0     0</t>
  </si>
  <si>
    <t>GUS KYLE                       (0-0-0)         0  1     1     2     3</t>
  </si>
  <si>
    <t>ED KRYZANOWSKI                 (0-0-0)         0  1     0     1     1</t>
  </si>
  <si>
    <t>MURRAY HENDERSON               (0-0-0)         0  1     0     0     0</t>
  </si>
  <si>
    <t>Player Stats For Detroit DET</t>
  </si>
  <si>
    <t>GORDIE HOWE                    (1-2-1)         0  1     0     0     0</t>
  </si>
  <si>
    <t>TED LINDSAY                    (1-0-0)         1  0     0     1     1</t>
  </si>
  <si>
    <t>METRO PRYSTAI                  (0-3-0)         1  0     0     1     1</t>
  </si>
  <si>
    <t>MARTY PAVELICH                 (1-1-1)         2  1     0     2     2</t>
  </si>
  <si>
    <t>RED KELLY                      (2-1-2)         1  0     0     0     0</t>
  </si>
  <si>
    <t>ALEX DELVECCHIO                (0-2-0)         1  0     0     2     2</t>
  </si>
  <si>
    <t>SID ABEL                       (3-0-2)         1  0     0     0     0</t>
  </si>
  <si>
    <t>TONY LESWICK                   (0-0-0)         0  1     0     0     0</t>
  </si>
  <si>
    <t>MARCEL PRONOVOST               (0-1-0)         0  0     0     1     1</t>
  </si>
  <si>
    <t>GLEN SKOV                      (0-1-0)         0  0     0     0     0</t>
  </si>
  <si>
    <t>FRED GLOVER                    (0-0-1)         0  1     0     2     2</t>
  </si>
  <si>
    <t>BENNY WOIT                     (0-0-0)         0  0     0     1     1</t>
  </si>
  <si>
    <t>LARRY ZEIDEL                   (0-0-0)         0  0     1     0     1</t>
  </si>
  <si>
    <t>BOB GOLDHAM                    (0-0-0)         2  0     0     0     0</t>
  </si>
  <si>
    <t>LEO REISE                      (1-0-0)         2  2     0     1     1</t>
  </si>
  <si>
    <t>DEAN PRENTICE                  (1-3-0)         1  0     0     0     0</t>
  </si>
  <si>
    <t>ANDY BATHGATE                  (2-1-0)         1  1     0     0     0</t>
  </si>
  <si>
    <t>LARRY POPEIN                   (1-2-0)         0  0     0     0     0</t>
  </si>
  <si>
    <t>ANDY HEBENTON                  (1-2-2)         0  0     0     1     1</t>
  </si>
  <si>
    <t>RED SULLIVAN                   (3-4-2)         2  0     0     2     2</t>
  </si>
  <si>
    <t>KEN SCHINKEL                   (0-2-0)         0  1     0     0     0</t>
  </si>
  <si>
    <t>BRIAN CULLEN                   (1-0-0)         1  1     2     1     3</t>
  </si>
  <si>
    <t>CAMILLE HENRY                  (0-0-1)         0  0     2     0     2</t>
  </si>
  <si>
    <t>EDDIE SHACK                    (0-0-0)         0  0     0     4     4</t>
  </si>
  <si>
    <t>HARRY HOWELL                   (1-0-0)         0  0     0     1     1</t>
  </si>
  <si>
    <t>JIM BARTLETT                   (0-0-0)         0  0     0     0     0</t>
  </si>
  <si>
    <t>JOHN HANNA                     (0-0-0)         0  1     0     1     1</t>
  </si>
  <si>
    <t>BILL GADSBY                    (0-0-0)         0  1     0     1     1</t>
  </si>
  <si>
    <t>JACK BOWNASS                   (0-0-0)         0  2     0     0     0</t>
  </si>
  <si>
    <t>LOU FONTINATO                  (0-0-0)         1  0     0     1     1</t>
  </si>
  <si>
    <t>IAN CUSHENAN                   (0-1-0)         1  0     0     1     1</t>
  </si>
  <si>
    <t>Player Stats For Chicago CHI</t>
  </si>
  <si>
    <t>BOBBY HULL                     (1-4-1)         0  2     3     1     4</t>
  </si>
  <si>
    <t>MURRAY BALFOUR                 (0-1-0)         1  2     0     0     0</t>
  </si>
  <si>
    <t>TOD SLOAN                      (2-4-0)         0  0     2     1     3</t>
  </si>
  <si>
    <t>BILL HAY                       (0-3-0)         0  1     0     1     1</t>
  </si>
  <si>
    <t>RON MURPHY                     (1-0-1)         2  0     0     2     2</t>
  </si>
  <si>
    <t>ERIC NESTERENKO                (0-1-1)         0  0     0     0     0</t>
  </si>
  <si>
    <t>KENNY WHARRAM                  (4-2-1)         1  0     0     3     3</t>
  </si>
  <si>
    <t>STAN MIKITA                    (0-2-2)         0  0     0     0     0</t>
  </si>
  <si>
    <t>TED LINDSAY                    (0-1-0)         1  1     2     3     5</t>
  </si>
  <si>
    <t>MOOSE VASKO                    (0-1-2)         1  0     0     1     1</t>
  </si>
  <si>
    <t>DOLLARD St. LAURENT            (0-0-0)         0  0     1     0     1</t>
  </si>
  <si>
    <t>EARL BALFOUR                   (0-0-0)         0  0     0     0     0</t>
  </si>
  <si>
    <t>PIERRE PILOTE                  (0-0-0)         1  1     0     0     0</t>
  </si>
  <si>
    <t>AL ARBOUR                      (0-0-0)         0  0     0     0     0</t>
  </si>
  <si>
    <t>JACK EVANS                     (1-0-0)         2  2     0     0     0</t>
  </si>
  <si>
    <t>DOUG BARKLEY                   (0-0-0)         0  0     0     0     0</t>
  </si>
  <si>
    <t>Player Stats For Pittsburgh PIT</t>
  </si>
  <si>
    <t>JEAN PRONOVOST                 (2-1-0)         1  0     0     0     0</t>
  </si>
  <si>
    <t>PIERRE LAROUCHE                (3-0-0)         1  1     0     2     2</t>
  </si>
  <si>
    <t>VIC HADFIELD                   (0-1-1)         0  1     1     1     2</t>
  </si>
  <si>
    <t>SYL APPS                       (2-2-1)         0  1     0     1     1</t>
  </si>
  <si>
    <t>RICK KEHOE                     (1-3-0)         0  0     0     1     1</t>
  </si>
  <si>
    <t>J. BOB KELLY                   (0-2-0)         0  0     0     2     2</t>
  </si>
  <si>
    <t>LOWELL MacDONALD               (0-3-0)         0  0     1     1     2</t>
  </si>
  <si>
    <t>STAN GILBERTSON                (0-0-0)         0  0     0     0     0</t>
  </si>
  <si>
    <t>RON SCHOCK                     (1-1-0)         1  0     1     0     1</t>
  </si>
  <si>
    <t>SIMON NOLET                    (1-1-1)         0  0     2     0     2</t>
  </si>
  <si>
    <t>RON STACKHOUSE                 (1-0-1)         0  0     0     0     0</t>
  </si>
  <si>
    <t>DAVE BURROWS                   (0-0-0)         1  0     0     1     1</t>
  </si>
  <si>
    <t>COLIN CAMPBELL                 (0-0-1)         0  1     0     2     2</t>
  </si>
  <si>
    <t>DENNIS OWCHAR                  (0-0-0)         0  0     0     0     0</t>
  </si>
  <si>
    <t>ED GILBERT                     (0-0-0)         0  0     0     0     0</t>
  </si>
  <si>
    <t>BARRY WILKINS                  (0-1-0)         1  0     0     1     1</t>
  </si>
  <si>
    <t>MARIO FAUBERT                  (0-0-0)         1  0     0     1     1</t>
  </si>
  <si>
    <t>Player Stats For Washington WAS</t>
  </si>
  <si>
    <t>NELSON PYATT                   (3-0-0)         2  0     3     0     3</t>
  </si>
  <si>
    <t>GERRY MEEHAN                   (2-1-0)         0  1     1     0     1</t>
  </si>
  <si>
    <t>TONY WHITE                     (1-1-2)         1  1     1     1     2</t>
  </si>
  <si>
    <t>HARTLAND MONAHAN               (1-0-0)         1  0     1     1     2</t>
  </si>
  <si>
    <t>BLAIR STEWART                  (0-0-0)         0  0     1     1     2</t>
  </si>
  <si>
    <t>HARVEY BENNETT                 (0-0-0)         0  0     0     1     1</t>
  </si>
  <si>
    <t>ACE BAILEY                     (0-2-1)         0  1     0     0     0</t>
  </si>
  <si>
    <t>RON LALONDE                    (1-1-2)         2  0     0     0     0</t>
  </si>
  <si>
    <t>BOB SIROIS                     (2-3-0)         1  0     0     0     0</t>
  </si>
  <si>
    <t>BOB GRYP                       (0-0-0)         0  0     0     0     0</t>
  </si>
  <si>
    <t>GREG JOLY                      (0-0-0)         0  0     0     0     0</t>
  </si>
  <si>
    <t>JEAN LEMIEUX                   (1-0-1)         1  0     1     0     1</t>
  </si>
  <si>
    <t>JACK LYNCH                     (0-2-0)         0  2     0     0     0</t>
  </si>
  <si>
    <t>YVON LABRE                     (1-0-1)         0  1     0     1     1</t>
  </si>
  <si>
    <t>PETER SCAMURRA                 (0-0-0)         0  1     0     2     2</t>
  </si>
  <si>
    <t>BOB PARADISE                   (0-0-0)         0  1     2     2     4</t>
  </si>
  <si>
    <t>DON McLEAN                     (0-0-0)         0  0     0     1   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</si>
</sst>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Courier New"/>
      <family val="3"/>
    </font>
    <font>
      <sz val="11"/>
      <color rgb="FF0A0A0A"/>
      <name val="Courier New"/>
      <family val="3"/>
    </font>
    <font>
      <sz val="10"/>
      <color rgb="FF0A0A0A"/>
      <name val="Arial Unicode MS"/>
    </font>
    <font>
      <b/>
      <sz val="11"/>
      <color rgb="FFFF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 applyAlignment="1">
      <alignment horizontal="center"/>
    </xf>
    <xf numFmtId="0" fontId="2" fillId="0" borderId="0" xfId="0" applyFont="1"/>
    <xf numFmtId="0" fontId="4" fillId="0" borderId="0" xfId="0" applyFont="1"/>
    <xf numFmtId="0" fontId="0" fillId="0" borderId="0" xfId="0" applyFill="1" applyAlignment="1">
      <alignment horizontal="center"/>
    </xf>
    <xf numFmtId="0" fontId="3" fillId="0" borderId="0" xfId="0" applyFont="1" applyFill="1" applyAlignment="1">
      <alignment horizontal="center" vertical="center"/>
    </xf>
  </cellXfs>
  <cellStyles count="1">
    <cellStyle name="Normal" xfId="0" builtinId="0"/>
  </cellStyles>
  <dxfs count="8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91CAA8-4A4E-4E48-A320-AFF298EA81F2}" name="Table2" displayName="Table2" ref="C3:J22" totalsRowShown="0" headerRowDxfId="71" dataDxfId="70">
  <tableColumns count="8">
    <tableColumn id="1" xr3:uid="{88C7B477-D6CB-4826-B942-9AE83BB09586}" name="OS" dataDxfId="79"/>
    <tableColumn id="2" xr3:uid="{909ED75B-174D-4B48-B321-5B1492D0135A}" name="IS" dataDxfId="78"/>
    <tableColumn id="3" xr3:uid="{F1A2EB76-11D9-410A-9434-DF9B76013DCC}" name="RB" dataDxfId="77"/>
    <tableColumn id="4" xr3:uid="{3416D829-EE5B-4D91-B364-FB4B686560F0}" name="TA" dataDxfId="76"/>
    <tableColumn id="5" xr3:uid="{DC032B71-77DD-4BC3-908B-992E6483A6AC}" name="H" dataDxfId="75"/>
    <tableColumn id="6" xr3:uid="{6D046ABF-7C95-49FA-86C6-683E9A5B2AC5}" name="DefTO" dataDxfId="74"/>
    <tableColumn id="7" xr3:uid="{4A79AC5C-A2C1-4535-A8EA-1439E6A50BB8}" name="OffTO" dataDxfId="73"/>
    <tableColumn id="8" xr3:uid="{35BAA777-827B-436F-B9F6-97645EB19D63}" name="TotTO" dataDxfId="7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8A1004-733F-4D29-BEFD-3FFB9ABE610A}" name="Table3" displayName="Table3" ref="C24:J43" totalsRowShown="0" headerRowDxfId="61" dataDxfId="60">
  <tableColumns count="8">
    <tableColumn id="1" xr3:uid="{4AE5DFCE-EFB3-4DD8-B4AC-A5A8C680B9AC}" name="OS" dataDxfId="69"/>
    <tableColumn id="2" xr3:uid="{0A70BD0A-AEC1-4A1E-A93F-32BB3C442CA9}" name="IS" dataDxfId="68"/>
    <tableColumn id="3" xr3:uid="{C86ADC84-B4A5-47CA-974B-45F0FDD3F965}" name="RB" dataDxfId="67"/>
    <tableColumn id="4" xr3:uid="{CCC2E6E3-9399-41F4-9243-D8033C0684B0}" name="TA" dataDxfId="66"/>
    <tableColumn id="5" xr3:uid="{CD5C1FD1-2F0A-4F7E-8ED4-80F121B98468}" name="H" dataDxfId="65"/>
    <tableColumn id="6" xr3:uid="{AB595CC0-B5B8-47AB-8E19-8E9CC69E6890}" name="DefTO" dataDxfId="64"/>
    <tableColumn id="7" xr3:uid="{E183C06C-7B45-4B10-B634-C3789AC4F0BC}" name="OffTO" dataDxfId="63"/>
    <tableColumn id="8" xr3:uid="{7EAD6164-66AD-457D-83C0-887C848BD951}" name="TotTO" dataDxfId="6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E52F0C-D455-46BD-B405-D0937AE9DAE2}" name="Table25" displayName="Table25" ref="C3:J21" totalsRowShown="0" headerRowDxfId="59" dataDxfId="58">
  <tableColumns count="8">
    <tableColumn id="1" xr3:uid="{C97EC121-6628-41CF-8070-9761EEC050C5}" name="OS" dataDxfId="57"/>
    <tableColumn id="2" xr3:uid="{06BDD5C9-A46B-469D-8245-194159F0E31D}" name="IS" dataDxfId="56"/>
    <tableColumn id="3" xr3:uid="{3C45A117-8405-42F6-9B97-C99E3005B339}" name="RB" dataDxfId="55"/>
    <tableColumn id="4" xr3:uid="{B8BBA1EF-6BB1-4601-ADBA-499655EDF9E1}" name="TA" dataDxfId="54"/>
    <tableColumn id="5" xr3:uid="{A7A71E42-F861-468F-8FAD-4D9E8184F9F6}" name="H" dataDxfId="53"/>
    <tableColumn id="6" xr3:uid="{7D4068C0-2F21-4D69-8F25-876F727C60F2}" name="DefTO" dataDxfId="52"/>
    <tableColumn id="7" xr3:uid="{BFCC6EE6-FA9C-4AC7-A358-9D3A709D5B03}" name="OffTO" dataDxfId="51"/>
    <tableColumn id="8" xr3:uid="{3B7226C3-C743-4D62-8FFC-1AD929A585E4}" name="TotTO" dataDxfId="5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E25198-A25C-47EF-A00B-B0487057F0C2}" name="Table36" displayName="Table36" ref="C23:J41" totalsRowShown="0" headerRowDxfId="49" dataDxfId="48">
  <tableColumns count="8">
    <tableColumn id="1" xr3:uid="{C00F469D-671A-42D5-81E6-A20DD0CE28C8}" name="OS" dataDxfId="47"/>
    <tableColumn id="2" xr3:uid="{DA6436D3-F8DE-4020-9B00-27B7A9768222}" name="IS" dataDxfId="46"/>
    <tableColumn id="3" xr3:uid="{B3512845-6232-4190-90F9-5843DD422E32}" name="RB" dataDxfId="45"/>
    <tableColumn id="4" xr3:uid="{B113DD08-D0FF-43EB-856B-CFF529084F0D}" name="TA" dataDxfId="44"/>
    <tableColumn id="5" xr3:uid="{C446C1A9-1EBE-44FB-BA5F-11BFF9734BF3}" name="H" dataDxfId="43"/>
    <tableColumn id="6" xr3:uid="{356194B7-563E-4952-9F9B-93C75B913697}" name="DefTO" dataDxfId="42"/>
    <tableColumn id="7" xr3:uid="{46DD1345-4D9C-4B24-B7E8-0415DD41999F}" name="OffTO" dataDxfId="41"/>
    <tableColumn id="8" xr3:uid="{C85291F9-5677-406E-A99F-6106409AD5ED}" name="TotTO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35B33B0-0030-4450-AEDA-337C280C7970}" name="Table27" displayName="Table27" ref="C3:J20" totalsRowShown="0" headerRowDxfId="39" dataDxfId="38">
  <tableColumns count="8">
    <tableColumn id="1" xr3:uid="{B7F7AD5E-30C7-4286-A28A-2B0F7DE55679}" name="OS" dataDxfId="37"/>
    <tableColumn id="2" xr3:uid="{1CCFC85E-637C-462D-810E-9650F2582D1D}" name="IS" dataDxfId="36"/>
    <tableColumn id="3" xr3:uid="{0F5CC29B-9445-416F-BBBD-EFAA343BF3DF}" name="RB" dataDxfId="35"/>
    <tableColumn id="4" xr3:uid="{C39DE3CE-D024-4D6E-AD8B-03DC58A839F9}" name="TA" dataDxfId="34"/>
    <tableColumn id="5" xr3:uid="{A47660AA-F381-46C8-A996-9FC7B0F93661}" name="H" dataDxfId="33"/>
    <tableColumn id="6" xr3:uid="{58B1518D-06E8-4336-8280-8BC106DFB3AC}" name="DefTO" dataDxfId="32"/>
    <tableColumn id="7" xr3:uid="{68B71F50-ED62-464A-9D36-976D6F3F9EAA}" name="OffTO" dataDxfId="31"/>
    <tableColumn id="8" xr3:uid="{9FB80D69-6F49-4BD5-9379-B002C59BEDAA}" name="TotTO" dataDxfId="3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B062F0E-BB26-4228-BFDB-6B19B4CC1488}" name="Table38" displayName="Table38" ref="C22:J39" totalsRowShown="0" headerRowDxfId="29" dataDxfId="28">
  <tableColumns count="8">
    <tableColumn id="1" xr3:uid="{C3312D38-1581-4810-A282-4F2C0BFFAA4B}" name="OS" dataDxfId="27"/>
    <tableColumn id="2" xr3:uid="{EDF23561-BB9F-4D5F-BC5D-04DF9C6B837F}" name="IS" dataDxfId="26"/>
    <tableColumn id="3" xr3:uid="{411CE682-31BF-4ACC-9D4F-816C558EDB6C}" name="RB" dataDxfId="25"/>
    <tableColumn id="4" xr3:uid="{D48FE97A-4404-4580-B61A-55FE06DEE33C}" name="TA" dataDxfId="24"/>
    <tableColumn id="5" xr3:uid="{C9ADCCC1-4976-43AA-8F4A-A6A0D3C37D03}" name="H" dataDxfId="23"/>
    <tableColumn id="6" xr3:uid="{901A3F5F-B177-41EE-BB0A-95B9E9DB0715}" name="DefTO" dataDxfId="22"/>
    <tableColumn id="7" xr3:uid="{9AB1789E-B47F-497A-B659-237279A8AD65}" name="OffTO" dataDxfId="21"/>
    <tableColumn id="8" xr3:uid="{08CBA3CB-93DF-4F6D-97F9-7F2A3A011EBF}" name="TotTO" dataDxfId="2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829AD66-5F15-4E3C-8ACF-531DBFC51E36}" name="Table29" displayName="Table29" ref="C3:J19" totalsRowShown="0" headerRowDxfId="19" dataDxfId="18">
  <tableColumns count="8">
    <tableColumn id="1" xr3:uid="{833A43F3-B63C-4380-AC51-904204068111}" name="OS" dataDxfId="17"/>
    <tableColumn id="2" xr3:uid="{8BFCCB88-DEEF-4797-8F7E-8C8A085F41A0}" name="IS" dataDxfId="16"/>
    <tableColumn id="3" xr3:uid="{BAE72BD3-3C9D-41FC-A4CA-7DB5D36B38B5}" name="RB" dataDxfId="15"/>
    <tableColumn id="4" xr3:uid="{E3D51E88-2828-4FC8-B529-DD823D073727}" name="TA" dataDxfId="14"/>
    <tableColumn id="5" xr3:uid="{B45C78C8-0165-4D2E-92B7-08F5F6B3BE3B}" name="H" dataDxfId="13"/>
    <tableColumn id="6" xr3:uid="{25C0F762-0545-4CDB-8420-010F64941D99}" name="DefTO" dataDxfId="12"/>
    <tableColumn id="7" xr3:uid="{22EDBAA8-19C8-4C50-865A-1A91B368D86D}" name="OffTO" dataDxfId="11"/>
    <tableColumn id="8" xr3:uid="{25646BD2-AF0F-4C16-B0CA-AAD116EF2B3D}" name="TotTO" dataDxfId="1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349948-5C32-4CF2-917E-2EDB429AF439}" name="Table310" displayName="Table310" ref="C21:J37" totalsRowShown="0" headerRowDxfId="9" dataDxfId="8">
  <tableColumns count="8">
    <tableColumn id="1" xr3:uid="{25EEC365-A981-47FB-9B51-0A548D4D759C}" name="OS" dataDxfId="7"/>
    <tableColumn id="2" xr3:uid="{66FF26FC-BB18-4647-A3B5-F8F2799BB8F9}" name="IS" dataDxfId="6"/>
    <tableColumn id="3" xr3:uid="{7F8A414A-1C1A-4602-A50A-AFE63D2948A2}" name="RB" dataDxfId="5"/>
    <tableColumn id="4" xr3:uid="{56231E76-E999-456B-91B8-58E50EF6B119}" name="TA" dataDxfId="4"/>
    <tableColumn id="5" xr3:uid="{063E3F4C-8DDE-4FF6-BDBF-4E4C7C0E4E87}" name="H" dataDxfId="3"/>
    <tableColumn id="6" xr3:uid="{D12A3A06-02BE-4BE4-AB5B-5C78C7B3950A}" name="DefTO" dataDxfId="2"/>
    <tableColumn id="7" xr3:uid="{1C93E171-2D1D-4EF2-A2C9-919458E90400}" name="OffTO" dataDxfId="1"/>
    <tableColumn id="8" xr3:uid="{2AB98BD1-3E11-4863-9D77-2D4B1E3E3200}" name="Tot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21397-0407-4878-BE50-57EEC32A1F6C}">
  <dimension ref="A1:L49"/>
  <sheetViews>
    <sheetView tabSelected="1" workbookViewId="0"/>
  </sheetViews>
  <sheetFormatPr defaultRowHeight="15"/>
  <cols>
    <col min="1" max="1" width="92.85546875" bestFit="1" customWidth="1"/>
    <col min="3" max="10" width="12.28515625" style="5" customWidth="1"/>
    <col min="12" max="12" width="10.28515625" bestFit="1" customWidth="1"/>
  </cols>
  <sheetData>
    <row r="1" spans="1:12" ht="15.75">
      <c r="A1" s="4" t="s">
        <v>51</v>
      </c>
      <c r="B1" s="1"/>
    </row>
    <row r="2" spans="1:12">
      <c r="A2" s="1" t="s">
        <v>13</v>
      </c>
      <c r="B2" s="1"/>
    </row>
    <row r="3" spans="1:12">
      <c r="A3" s="1" t="s">
        <v>0</v>
      </c>
      <c r="B3" s="1"/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</row>
    <row r="4" spans="1:12">
      <c r="A4" s="1" t="s">
        <v>50</v>
      </c>
      <c r="B4" s="1"/>
      <c r="C4" s="6">
        <f>VALUE(MID(A4, FIND("(", A4) + 1, FIND("-", A4, FIND("(", A4)) - FIND("(", A4) - 1))</f>
        <v>1</v>
      </c>
      <c r="D4" s="6">
        <f>VALUE(MID(A4, FIND("-", A4, FIND("(", A4)) + 1, FIND("-", A4, FIND("-", A4, FIND("(", A4)) + 1) - FIND("-", A4, FIND("(", A4)) - 1))</f>
        <v>2</v>
      </c>
      <c r="E4" s="6">
        <f>VALUE(MID(A4, FIND("-", A4, FIND("-", A4, FIND("(", A4)) + 1) + 1, FIND(")", A4) - FIND("-", A4, FIND("-", A4, FIND("(", A4)) + 1) - 1))</f>
        <v>3</v>
      </c>
      <c r="F4" s="6">
        <f>VALUE(TRIM(MID(SUBSTITUTE(TRIM(MID(A4, FIND(")", A4)+1, LEN(A4))), " ", REPT(" ", 100)), 1, 100)))</f>
        <v>4</v>
      </c>
      <c r="G4" s="6">
        <f>VALUE(TRIM(MID(SUBSTITUTE(TRIM(MID(A4, FIND(")", A4) + 1, LEN(A4))), " ", REPT(" ", 100)), 100, 100)))</f>
        <v>5</v>
      </c>
      <c r="H4" s="6">
        <f>VALUE(TRIM(MID(SUBSTITUTE(TRIM(MID(A4, FIND(")", A4)+1, LEN(A4))), " ", REPT(" ", 100)), 201, 100)))</f>
        <v>6</v>
      </c>
      <c r="I4" s="6">
        <f>VALUE(TRIM(MID(SUBSTITUTE(TRIM(MID(A4, FIND(")", A4)+1, LEN(A4))), " ", REPT(" ", 100)), 301, 100)))</f>
        <v>7</v>
      </c>
      <c r="J4" s="6">
        <f>VALUE(TRIM(MID(SUBSTITUTE(TRIM(MID(A4, FIND(")", A4)+1, LEN(A4))), " ", REPT(" ", 100)), 401, 100)))</f>
        <v>8</v>
      </c>
      <c r="L4" s="3"/>
    </row>
    <row r="5" spans="1:12">
      <c r="A5" s="1" t="s">
        <v>14</v>
      </c>
      <c r="B5" s="1"/>
      <c r="C5" s="6">
        <f>VALUE(MID(A5, FIND("(", A5) + 1, FIND("-", A5, FIND("(", A5)) - FIND("(", A5) - 1))</f>
        <v>0</v>
      </c>
      <c r="D5" s="6">
        <f>VALUE(MID(A5, FIND("-", A5, FIND("(", A5)) + 1, FIND("-", A5, FIND("-", A5, FIND("(", A5)) + 1) - FIND("-", A5, FIND("(", A5)) - 1))</f>
        <v>1</v>
      </c>
      <c r="E5" s="6">
        <f>VALUE(MID(A5, FIND("-", A5, FIND("-", A5, FIND("(", A5)) + 1) + 1, FIND(")", A5) - FIND("-", A5, FIND("-", A5, FIND("(", A5)) + 1) - 1))</f>
        <v>0</v>
      </c>
      <c r="F5" s="6">
        <f>VALUE(TRIM(MID(SUBSTITUTE(TRIM(MID(A5, FIND(")", A5)+1, LEN(A5))), " ", REPT(" ", 100)), 1, 100)))</f>
        <v>0</v>
      </c>
      <c r="G5" s="6">
        <f>VALUE(TRIM(MID(SUBSTITUTE(TRIM(MID(A5, FIND(")", A5) + 1, LEN(A5))), " ", REPT(" ", 100)), 100, 100)))</f>
        <v>1</v>
      </c>
      <c r="H5" s="6">
        <f>VALUE(TRIM(MID(SUBSTITUTE(TRIM(MID(A5, FIND(")", A5)+1, LEN(A5))), " ", REPT(" ", 100)), 201, 100)))</f>
        <v>0</v>
      </c>
      <c r="I5" s="6">
        <f>VALUE(TRIM(MID(SUBSTITUTE(TRIM(MID(A5, FIND(")", A5)+1, LEN(A5))), " ", REPT(" ", 100)), 301, 100)))</f>
        <v>0</v>
      </c>
      <c r="J5" s="6">
        <f>VALUE(TRIM(MID(SUBSTITUTE(TRIM(MID(A5, FIND(")", A5)+1, LEN(A5))), " ", REPT(" ", 100)), 401, 100)))</f>
        <v>0</v>
      </c>
      <c r="L5" s="3"/>
    </row>
    <row r="6" spans="1:12">
      <c r="A6" s="1" t="s">
        <v>15</v>
      </c>
      <c r="B6" s="1"/>
      <c r="C6" s="6">
        <f>VALUE(MID(A6, FIND("(", A6) + 1, FIND("-", A6, FIND("(", A6)) - FIND("(", A6) - 1))</f>
        <v>0</v>
      </c>
      <c r="D6" s="6">
        <f>VALUE(MID(A6, FIND("-", A6, FIND("(", A6)) + 1, FIND("-", A6, FIND("-", A6, FIND("(", A6)) + 1) - FIND("-", A6, FIND("(", A6)) - 1))</f>
        <v>4</v>
      </c>
      <c r="E6" s="6">
        <f>VALUE(MID(A6, FIND("-", A6, FIND("-", A6, FIND("(", A6)) + 1) + 1, FIND(")", A6) - FIND("-", A6, FIND("-", A6, FIND("(", A6)) + 1) - 1))</f>
        <v>0</v>
      </c>
      <c r="F6" s="6">
        <f>VALUE(TRIM(MID(SUBSTITUTE(TRIM(MID(A6, FIND(")", A6)+1, LEN(A6))), " ", REPT(" ", 100)), 1, 100)))</f>
        <v>0</v>
      </c>
      <c r="G6" s="6">
        <f>VALUE(TRIM(MID(SUBSTITUTE(TRIM(MID(A6, FIND(")", A6) + 1, LEN(A6))), " ", REPT(" ", 100)), 100, 100)))</f>
        <v>0</v>
      </c>
      <c r="H6" s="6">
        <f>VALUE(TRIM(MID(SUBSTITUTE(TRIM(MID(A6, FIND(")", A6)+1, LEN(A6))), " ", REPT(" ", 100)), 201, 100)))</f>
        <v>1</v>
      </c>
      <c r="I6" s="6">
        <f>VALUE(TRIM(MID(SUBSTITUTE(TRIM(MID(A6, FIND(")", A6)+1, LEN(A6))), " ", REPT(" ", 100)), 301, 100)))</f>
        <v>1</v>
      </c>
      <c r="J6" s="6">
        <f>VALUE(TRIM(MID(SUBSTITUTE(TRIM(MID(A6, FIND(")", A6)+1, LEN(A6))), " ", REPT(" ", 100)), 401, 100)))</f>
        <v>2</v>
      </c>
      <c r="L6" s="3"/>
    </row>
    <row r="7" spans="1:12">
      <c r="A7" s="1" t="s">
        <v>16</v>
      </c>
      <c r="B7" s="1"/>
      <c r="C7" s="6">
        <f>VALUE(MID(A7, FIND("(", A7) + 1, FIND("-", A7, FIND("(", A7)) - FIND("(", A7) - 1))</f>
        <v>0</v>
      </c>
      <c r="D7" s="6">
        <f>VALUE(MID(A7, FIND("-", A7, FIND("(", A7)) + 1, FIND("-", A7, FIND("-", A7, FIND("(", A7)) + 1) - FIND("-", A7, FIND("(", A7)) - 1))</f>
        <v>1</v>
      </c>
      <c r="E7" s="6">
        <f>VALUE(MID(A7, FIND("-", A7, FIND("-", A7, FIND("(", A7)) + 1) + 1, FIND(")", A7) - FIND("-", A7, FIND("-", A7, FIND("(", A7)) + 1) - 1))</f>
        <v>1</v>
      </c>
      <c r="F7" s="6">
        <f>VALUE(TRIM(MID(SUBSTITUTE(TRIM(MID(A7, FIND(")", A7)+1, LEN(A7))), " ", REPT(" ", 100)), 1, 100)))</f>
        <v>0</v>
      </c>
      <c r="G7" s="6">
        <f>VALUE(TRIM(MID(SUBSTITUTE(TRIM(MID(A7, FIND(")", A7) + 1, LEN(A7))), " ", REPT(" ", 100)), 100, 100)))</f>
        <v>0</v>
      </c>
      <c r="H7" s="6">
        <f>VALUE(TRIM(MID(SUBSTITUTE(TRIM(MID(A7, FIND(")", A7)+1, LEN(A7))), " ", REPT(" ", 100)), 201, 100)))</f>
        <v>0</v>
      </c>
      <c r="I7" s="6">
        <f>VALUE(TRIM(MID(SUBSTITUTE(TRIM(MID(A7, FIND(")", A7)+1, LEN(A7))), " ", REPT(" ", 100)), 301, 100)))</f>
        <v>0</v>
      </c>
      <c r="J7" s="6">
        <f>VALUE(TRIM(MID(SUBSTITUTE(TRIM(MID(A7, FIND(")", A7)+1, LEN(A7))), " ", REPT(" ", 100)), 401, 100)))</f>
        <v>0</v>
      </c>
      <c r="L7" s="3"/>
    </row>
    <row r="8" spans="1:12">
      <c r="A8" s="1" t="s">
        <v>17</v>
      </c>
      <c r="B8" s="1"/>
      <c r="C8" s="6">
        <f>VALUE(MID(A8, FIND("(", A8) + 1, FIND("-", A8, FIND("(", A8)) - FIND("(", A8) - 1))</f>
        <v>1</v>
      </c>
      <c r="D8" s="6">
        <f>VALUE(MID(A8, FIND("-", A8, FIND("(", A8)) + 1, FIND("-", A8, FIND("-", A8, FIND("(", A8)) + 1) - FIND("-", A8, FIND("(", A8)) - 1))</f>
        <v>2</v>
      </c>
      <c r="E8" s="6">
        <f>VALUE(MID(A8, FIND("-", A8, FIND("-", A8, FIND("(", A8)) + 1) + 1, FIND(")", A8) - FIND("-", A8, FIND("-", A8, FIND("(", A8)) + 1) - 1))</f>
        <v>0</v>
      </c>
      <c r="F8" s="6">
        <f>VALUE(TRIM(MID(SUBSTITUTE(TRIM(MID(A8, FIND(")", A8)+1, LEN(A8))), " ", REPT(" ", 100)), 1, 100)))</f>
        <v>0</v>
      </c>
      <c r="G8" s="6">
        <f>VALUE(TRIM(MID(SUBSTITUTE(TRIM(MID(A8, FIND(")", A8) + 1, LEN(A8))), " ", REPT(" ", 100)), 100, 100)))</f>
        <v>0</v>
      </c>
      <c r="H8" s="6">
        <f>VALUE(TRIM(MID(SUBSTITUTE(TRIM(MID(A8, FIND(")", A8)+1, LEN(A8))), " ", REPT(" ", 100)), 201, 100)))</f>
        <v>0</v>
      </c>
      <c r="I8" s="6">
        <f>VALUE(TRIM(MID(SUBSTITUTE(TRIM(MID(A8, FIND(")", A8)+1, LEN(A8))), " ", REPT(" ", 100)), 301, 100)))</f>
        <v>1</v>
      </c>
      <c r="J8" s="6">
        <f>VALUE(TRIM(MID(SUBSTITUTE(TRIM(MID(A8, FIND(")", A8)+1, LEN(A8))), " ", REPT(" ", 100)), 401, 100)))</f>
        <v>1</v>
      </c>
      <c r="L8" s="3"/>
    </row>
    <row r="9" spans="1:12">
      <c r="A9" s="1" t="s">
        <v>18</v>
      </c>
      <c r="B9" s="1"/>
      <c r="C9" s="6">
        <f>VALUE(MID(A9, FIND("(", A9) + 1, FIND("-", A9, FIND("(", A9)) - FIND("(", A9) - 1))</f>
        <v>0</v>
      </c>
      <c r="D9" s="6">
        <f>VALUE(MID(A9, FIND("-", A9, FIND("(", A9)) + 1, FIND("-", A9, FIND("-", A9, FIND("(", A9)) + 1) - FIND("-", A9, FIND("(", A9)) - 1))</f>
        <v>1</v>
      </c>
      <c r="E9" s="6">
        <f>VALUE(MID(A9, FIND("-", A9, FIND("-", A9, FIND("(", A9)) + 1) + 1, FIND(")", A9) - FIND("-", A9, FIND("-", A9, FIND("(", A9)) + 1) - 1))</f>
        <v>0</v>
      </c>
      <c r="F9" s="6">
        <f>VALUE(TRIM(MID(SUBSTITUTE(TRIM(MID(A9, FIND(")", A9)+1, LEN(A9))), " ", REPT(" ", 100)), 1, 100)))</f>
        <v>0</v>
      </c>
      <c r="G9" s="6">
        <f>VALUE(TRIM(MID(SUBSTITUTE(TRIM(MID(A9, FIND(")", A9) + 1, LEN(A9))), " ", REPT(" ", 100)), 100, 100)))</f>
        <v>0</v>
      </c>
      <c r="H9" s="6">
        <f>VALUE(TRIM(MID(SUBSTITUTE(TRIM(MID(A9, FIND(")", A9)+1, LEN(A9))), " ", REPT(" ", 100)), 201, 100)))</f>
        <v>1</v>
      </c>
      <c r="I9" s="6">
        <f>VALUE(TRIM(MID(SUBSTITUTE(TRIM(MID(A9, FIND(")", A9)+1, LEN(A9))), " ", REPT(" ", 100)), 301, 100)))</f>
        <v>0</v>
      </c>
      <c r="J9" s="6">
        <f>VALUE(TRIM(MID(SUBSTITUTE(TRIM(MID(A9, FIND(")", A9)+1, LEN(A9))), " ", REPT(" ", 100)), 401, 100)))</f>
        <v>1</v>
      </c>
      <c r="L9" s="3"/>
    </row>
    <row r="10" spans="1:12">
      <c r="A10" s="1" t="s">
        <v>19</v>
      </c>
      <c r="B10" s="1"/>
      <c r="C10" s="6">
        <f>VALUE(MID(A10, FIND("(", A10) + 1, FIND("-", A10, FIND("(", A10)) - FIND("(", A10) - 1))</f>
        <v>4</v>
      </c>
      <c r="D10" s="6">
        <f>VALUE(MID(A10, FIND("-", A10, FIND("(", A10)) + 1, FIND("-", A10, FIND("-", A10, FIND("(", A10)) + 1) - FIND("-", A10, FIND("(", A10)) - 1))</f>
        <v>0</v>
      </c>
      <c r="E10" s="6">
        <f>VALUE(MID(A10, FIND("-", A10, FIND("-", A10, FIND("(", A10)) + 1) + 1, FIND(")", A10) - FIND("-", A10, FIND("-", A10, FIND("(", A10)) + 1) - 1))</f>
        <v>0</v>
      </c>
      <c r="F10" s="6">
        <f>VALUE(TRIM(MID(SUBSTITUTE(TRIM(MID(A10, FIND(")", A10)+1, LEN(A10))), " ", REPT(" ", 100)), 1, 100)))</f>
        <v>1</v>
      </c>
      <c r="G10" s="6">
        <f>VALUE(TRIM(MID(SUBSTITUTE(TRIM(MID(A10, FIND(")", A10) + 1, LEN(A10))), " ", REPT(" ", 100)), 100, 100)))</f>
        <v>0</v>
      </c>
      <c r="H10" s="6">
        <f>VALUE(TRIM(MID(SUBSTITUTE(TRIM(MID(A10, FIND(")", A10)+1, LEN(A10))), " ", REPT(" ", 100)), 201, 100)))</f>
        <v>0</v>
      </c>
      <c r="I10" s="6">
        <f>VALUE(TRIM(MID(SUBSTITUTE(TRIM(MID(A10, FIND(")", A10)+1, LEN(A10))), " ", REPT(" ", 100)), 301, 100)))</f>
        <v>0</v>
      </c>
      <c r="J10" s="6">
        <f>VALUE(TRIM(MID(SUBSTITUTE(TRIM(MID(A10, FIND(")", A10)+1, LEN(A10))), " ", REPT(" ", 100)), 401, 100)))</f>
        <v>0</v>
      </c>
      <c r="L10" s="3"/>
    </row>
    <row r="11" spans="1:12">
      <c r="A11" s="1" t="s">
        <v>20</v>
      </c>
      <c r="B11" s="1"/>
      <c r="C11" s="6">
        <f>VALUE(MID(A11, FIND("(", A11) + 1, FIND("-", A11, FIND("(", A11)) - FIND("(", A11) - 1))</f>
        <v>1</v>
      </c>
      <c r="D11" s="6">
        <f>VALUE(MID(A11, FIND("-", A11, FIND("(", A11)) + 1, FIND("-", A11, FIND("-", A11, FIND("(", A11)) + 1) - FIND("-", A11, FIND("(", A11)) - 1))</f>
        <v>1</v>
      </c>
      <c r="E11" s="6">
        <f>VALUE(MID(A11, FIND("-", A11, FIND("-", A11, FIND("(", A11)) + 1) + 1, FIND(")", A11) - FIND("-", A11, FIND("-", A11, FIND("(", A11)) + 1) - 1))</f>
        <v>0</v>
      </c>
      <c r="F11" s="6">
        <f>VALUE(TRIM(MID(SUBSTITUTE(TRIM(MID(A11, FIND(")", A11)+1, LEN(A11))), " ", REPT(" ", 100)), 1, 100)))</f>
        <v>0</v>
      </c>
      <c r="G11" s="6">
        <f>VALUE(TRIM(MID(SUBSTITUTE(TRIM(MID(A11, FIND(")", A11) + 1, LEN(A11))), " ", REPT(" ", 100)), 100, 100)))</f>
        <v>0</v>
      </c>
      <c r="H11" s="6">
        <f>VALUE(TRIM(MID(SUBSTITUTE(TRIM(MID(A11, FIND(")", A11)+1, LEN(A11))), " ", REPT(" ", 100)), 201, 100)))</f>
        <v>0</v>
      </c>
      <c r="I11" s="6">
        <f>VALUE(TRIM(MID(SUBSTITUTE(TRIM(MID(A11, FIND(")", A11)+1, LEN(A11))), " ", REPT(" ", 100)), 301, 100)))</f>
        <v>1</v>
      </c>
      <c r="J11" s="6">
        <f>VALUE(TRIM(MID(SUBSTITUTE(TRIM(MID(A11, FIND(")", A11)+1, LEN(A11))), " ", REPT(" ", 100)), 401, 100)))</f>
        <v>1</v>
      </c>
      <c r="L11" s="3"/>
    </row>
    <row r="12" spans="1:12">
      <c r="A12" s="1" t="s">
        <v>21</v>
      </c>
      <c r="B12" s="1"/>
      <c r="C12" s="6">
        <f>VALUE(MID(A12, FIND("(", A12) + 1, FIND("-", A12, FIND("(", A12)) - FIND("(", A12) - 1))</f>
        <v>1</v>
      </c>
      <c r="D12" s="6">
        <f>VALUE(MID(A12, FIND("-", A12, FIND("(", A12)) + 1, FIND("-", A12, FIND("-", A12, FIND("(", A12)) + 1) - FIND("-", A12, FIND("(", A12)) - 1))</f>
        <v>0</v>
      </c>
      <c r="E12" s="6">
        <f>VALUE(MID(A12, FIND("-", A12, FIND("-", A12, FIND("(", A12)) + 1) + 1, FIND(")", A12) - FIND("-", A12, FIND("-", A12, FIND("(", A12)) + 1) - 1))</f>
        <v>0</v>
      </c>
      <c r="F12" s="6">
        <f>VALUE(TRIM(MID(SUBSTITUTE(TRIM(MID(A12, FIND(")", A12)+1, LEN(A12))), " ", REPT(" ", 100)), 1, 100)))</f>
        <v>0</v>
      </c>
      <c r="G12" s="6">
        <f>VALUE(TRIM(MID(SUBSTITUTE(TRIM(MID(A12, FIND(")", A12) + 1, LEN(A12))), " ", REPT(" ", 100)), 100, 100)))</f>
        <v>1</v>
      </c>
      <c r="H12" s="6">
        <f>VALUE(TRIM(MID(SUBSTITUTE(TRIM(MID(A12, FIND(")", A12)+1, LEN(A12))), " ", REPT(" ", 100)), 201, 100)))</f>
        <v>0</v>
      </c>
      <c r="I12" s="6">
        <f>VALUE(TRIM(MID(SUBSTITUTE(TRIM(MID(A12, FIND(")", A12)+1, LEN(A12))), " ", REPT(" ", 100)), 301, 100)))</f>
        <v>0</v>
      </c>
      <c r="J12" s="6">
        <f>VALUE(TRIM(MID(SUBSTITUTE(TRIM(MID(A12, FIND(")", A12)+1, LEN(A12))), " ", REPT(" ", 100)), 401, 100)))</f>
        <v>0</v>
      </c>
      <c r="L12" s="3"/>
    </row>
    <row r="13" spans="1:12">
      <c r="A13" s="1" t="s">
        <v>22</v>
      </c>
      <c r="B13" s="1"/>
      <c r="C13" s="6">
        <f>VALUE(MID(A13, FIND("(", A13) + 1, FIND("-", A13, FIND("(", A13)) - FIND("(", A13) - 1))</f>
        <v>0</v>
      </c>
      <c r="D13" s="6">
        <f>VALUE(MID(A13, FIND("-", A13, FIND("(", A13)) + 1, FIND("-", A13, FIND("-", A13, FIND("(", A13)) + 1) - FIND("-", A13, FIND("(", A13)) - 1))</f>
        <v>3</v>
      </c>
      <c r="E13" s="6">
        <f>VALUE(MID(A13, FIND("-", A13, FIND("-", A13, FIND("(", A13)) + 1) + 1, FIND(")", A13) - FIND("-", A13, FIND("-", A13, FIND("(", A13)) + 1) - 1))</f>
        <v>0</v>
      </c>
      <c r="F13" s="6">
        <f>VALUE(TRIM(MID(SUBSTITUTE(TRIM(MID(A13, FIND(")", A13)+1, LEN(A13))), " ", REPT(" ", 100)), 1, 100)))</f>
        <v>0</v>
      </c>
      <c r="G13" s="6">
        <f>VALUE(TRIM(MID(SUBSTITUTE(TRIM(MID(A13, FIND(")", A13) + 1, LEN(A13))), " ", REPT(" ", 100)), 100, 100)))</f>
        <v>0</v>
      </c>
      <c r="H13" s="6">
        <f>VALUE(TRIM(MID(SUBSTITUTE(TRIM(MID(A13, FIND(")", A13)+1, LEN(A13))), " ", REPT(" ", 100)), 201, 100)))</f>
        <v>3</v>
      </c>
      <c r="I13" s="6">
        <f>VALUE(TRIM(MID(SUBSTITUTE(TRIM(MID(A13, FIND(")", A13)+1, LEN(A13))), " ", REPT(" ", 100)), 301, 100)))</f>
        <v>0</v>
      </c>
      <c r="J13" s="6">
        <f>VALUE(TRIM(MID(SUBSTITUTE(TRIM(MID(A13, FIND(")", A13)+1, LEN(A13))), " ", REPT(" ", 100)), 401, 100)))</f>
        <v>3</v>
      </c>
      <c r="L13" s="3"/>
    </row>
    <row r="14" spans="1:12">
      <c r="A14" s="1" t="s">
        <v>23</v>
      </c>
      <c r="B14" s="1"/>
      <c r="C14" s="6">
        <f>VALUE(MID(A14, FIND("(", A14) + 1, FIND("-", A14, FIND("(", A14)) - FIND("(", A14) - 1))</f>
        <v>1</v>
      </c>
      <c r="D14" s="6">
        <f>VALUE(MID(A14, FIND("-", A14, FIND("(", A14)) + 1, FIND("-", A14, FIND("-", A14, FIND("(", A14)) + 1) - FIND("-", A14, FIND("(", A14)) - 1))</f>
        <v>2</v>
      </c>
      <c r="E14" s="6">
        <f>VALUE(MID(A14, FIND("-", A14, FIND("-", A14, FIND("(", A14)) + 1) + 1, FIND(")", A14) - FIND("-", A14, FIND("-", A14, FIND("(", A14)) + 1) - 1))</f>
        <v>0</v>
      </c>
      <c r="F14" s="6">
        <f>VALUE(TRIM(MID(SUBSTITUTE(TRIM(MID(A14, FIND(")", A14)+1, LEN(A14))), " ", REPT(" ", 100)), 1, 100)))</f>
        <v>1</v>
      </c>
      <c r="G14" s="6">
        <f>VALUE(TRIM(MID(SUBSTITUTE(TRIM(MID(A14, FIND(")", A14) + 1, LEN(A14))), " ", REPT(" ", 100)), 100, 100)))</f>
        <v>0</v>
      </c>
      <c r="H14" s="6">
        <f>VALUE(TRIM(MID(SUBSTITUTE(TRIM(MID(A14, FIND(")", A14)+1, LEN(A14))), " ", REPT(" ", 100)), 201, 100)))</f>
        <v>0</v>
      </c>
      <c r="I14" s="6">
        <f>VALUE(TRIM(MID(SUBSTITUTE(TRIM(MID(A14, FIND(")", A14)+1, LEN(A14))), " ", REPT(" ", 100)), 301, 100)))</f>
        <v>0</v>
      </c>
      <c r="J14" s="6">
        <f>VALUE(TRIM(MID(SUBSTITUTE(TRIM(MID(A14, FIND(")", A14)+1, LEN(A14))), " ", REPT(" ", 100)), 401, 100)))</f>
        <v>0</v>
      </c>
      <c r="L14" s="3"/>
    </row>
    <row r="15" spans="1:12">
      <c r="A15" s="1" t="s">
        <v>24</v>
      </c>
      <c r="B15" s="1"/>
      <c r="C15" s="6">
        <f>VALUE(MID(A15, FIND("(", A15) + 1, FIND("-", A15, FIND("(", A15)) - FIND("(", A15) - 1))</f>
        <v>1</v>
      </c>
      <c r="D15" s="6">
        <f>VALUE(MID(A15, FIND("-", A15, FIND("(", A15)) + 1, FIND("-", A15, FIND("-", A15, FIND("(", A15)) + 1) - FIND("-", A15, FIND("(", A15)) - 1))</f>
        <v>3</v>
      </c>
      <c r="E15" s="6">
        <f>VALUE(MID(A15, FIND("-", A15, FIND("-", A15, FIND("(", A15)) + 1) + 1, FIND(")", A15) - FIND("-", A15, FIND("-", A15, FIND("(", A15)) + 1) - 1))</f>
        <v>0</v>
      </c>
      <c r="F15" s="6">
        <f>VALUE(TRIM(MID(SUBSTITUTE(TRIM(MID(A15, FIND(")", A15)+1, LEN(A15))), " ", REPT(" ", 100)), 1, 100)))</f>
        <v>0</v>
      </c>
      <c r="G15" s="6">
        <f>VALUE(TRIM(MID(SUBSTITUTE(TRIM(MID(A15, FIND(")", A15) + 1, LEN(A15))), " ", REPT(" ", 100)), 100, 100)))</f>
        <v>1</v>
      </c>
      <c r="H15" s="6">
        <f>VALUE(TRIM(MID(SUBSTITUTE(TRIM(MID(A15, FIND(")", A15)+1, LEN(A15))), " ", REPT(" ", 100)), 201, 100)))</f>
        <v>0</v>
      </c>
      <c r="I15" s="6">
        <f>VALUE(TRIM(MID(SUBSTITUTE(TRIM(MID(A15, FIND(")", A15)+1, LEN(A15))), " ", REPT(" ", 100)), 301, 100)))</f>
        <v>0</v>
      </c>
      <c r="J15" s="6">
        <f>VALUE(TRIM(MID(SUBSTITUTE(TRIM(MID(A15, FIND(")", A15)+1, LEN(A15))), " ", REPT(" ", 100)), 401, 100)))</f>
        <v>0</v>
      </c>
      <c r="L15" s="3"/>
    </row>
    <row r="16" spans="1:12">
      <c r="A16" s="1" t="s">
        <v>25</v>
      </c>
      <c r="B16" s="1"/>
      <c r="C16" s="6">
        <f>VALUE(MID(A16, FIND("(", A16) + 1, FIND("-", A16, FIND("(", A16)) - FIND("(", A16) - 1))</f>
        <v>1</v>
      </c>
      <c r="D16" s="6">
        <f>VALUE(MID(A16, FIND("-", A16, FIND("(", A16)) + 1, FIND("-", A16, FIND("-", A16, FIND("(", A16)) + 1) - FIND("-", A16, FIND("(", A16)) - 1))</f>
        <v>1</v>
      </c>
      <c r="E16" s="6">
        <f>VALUE(MID(A16, FIND("-", A16, FIND("-", A16, FIND("(", A16)) + 1) + 1, FIND(")", A16) - FIND("-", A16, FIND("-", A16, FIND("(", A16)) + 1) - 1))</f>
        <v>0</v>
      </c>
      <c r="F16" s="6">
        <f>VALUE(TRIM(MID(SUBSTITUTE(TRIM(MID(A16, FIND(")", A16)+1, LEN(A16))), " ", REPT(" ", 100)), 1, 100)))</f>
        <v>2</v>
      </c>
      <c r="G16" s="6">
        <f>VALUE(TRIM(MID(SUBSTITUTE(TRIM(MID(A16, FIND(")", A16) + 1, LEN(A16))), " ", REPT(" ", 100)), 100, 100)))</f>
        <v>0</v>
      </c>
      <c r="H16" s="6">
        <f>VALUE(TRIM(MID(SUBSTITUTE(TRIM(MID(A16, FIND(")", A16)+1, LEN(A16))), " ", REPT(" ", 100)), 201, 100)))</f>
        <v>0</v>
      </c>
      <c r="I16" s="6">
        <f>VALUE(TRIM(MID(SUBSTITUTE(TRIM(MID(A16, FIND(")", A16)+1, LEN(A16))), " ", REPT(" ", 100)), 301, 100)))</f>
        <v>1</v>
      </c>
      <c r="J16" s="6">
        <f>VALUE(TRIM(MID(SUBSTITUTE(TRIM(MID(A16, FIND(")", A16)+1, LEN(A16))), " ", REPT(" ", 100)), 401, 100)))</f>
        <v>1</v>
      </c>
      <c r="L16" s="3"/>
    </row>
    <row r="17" spans="1:12">
      <c r="A17" s="1" t="s">
        <v>26</v>
      </c>
      <c r="B17" s="1"/>
      <c r="C17" s="6">
        <f>VALUE(MID(A17, FIND("(", A17) + 1, FIND("-", A17, FIND("(", A17)) - FIND("(", A17) - 1))</f>
        <v>0</v>
      </c>
      <c r="D17" s="6">
        <f>VALUE(MID(A17, FIND("-", A17, FIND("(", A17)) + 1, FIND("-", A17, FIND("-", A17, FIND("(", A17)) + 1) - FIND("-", A17, FIND("(", A17)) - 1))</f>
        <v>0</v>
      </c>
      <c r="E17" s="6">
        <f>VALUE(MID(A17, FIND("-", A17, FIND("-", A17, FIND("(", A17)) + 1) + 1, FIND(")", A17) - FIND("-", A17, FIND("-", A17, FIND("(", A17)) + 1) - 1))</f>
        <v>0</v>
      </c>
      <c r="F17" s="6">
        <f>VALUE(TRIM(MID(SUBSTITUTE(TRIM(MID(A17, FIND(")", A17)+1, LEN(A17))), " ", REPT(" ", 100)), 1, 100)))</f>
        <v>0</v>
      </c>
      <c r="G17" s="6">
        <f>VALUE(TRIM(MID(SUBSTITUTE(TRIM(MID(A17, FIND(")", A17) + 1, LEN(A17))), " ", REPT(" ", 100)), 100, 100)))</f>
        <v>0</v>
      </c>
      <c r="H17" s="6">
        <f>VALUE(TRIM(MID(SUBSTITUTE(TRIM(MID(A17, FIND(")", A17)+1, LEN(A17))), " ", REPT(" ", 100)), 201, 100)))</f>
        <v>0</v>
      </c>
      <c r="I17" s="6">
        <f>VALUE(TRIM(MID(SUBSTITUTE(TRIM(MID(A17, FIND(")", A17)+1, LEN(A17))), " ", REPT(" ", 100)), 301, 100)))</f>
        <v>0</v>
      </c>
      <c r="J17" s="6">
        <f>VALUE(TRIM(MID(SUBSTITUTE(TRIM(MID(A17, FIND(")", A17)+1, LEN(A17))), " ", REPT(" ", 100)), 401, 100)))</f>
        <v>0</v>
      </c>
      <c r="L17" s="3"/>
    </row>
    <row r="18" spans="1:12">
      <c r="A18" s="1" t="s">
        <v>27</v>
      </c>
      <c r="B18" s="1"/>
      <c r="C18" s="6">
        <f>VALUE(MID(A18, FIND("(", A18) + 1, FIND("-", A18, FIND("(", A18)) - FIND("(", A18) - 1))</f>
        <v>0</v>
      </c>
      <c r="D18" s="6">
        <f>VALUE(MID(A18, FIND("-", A18, FIND("(", A18)) + 1, FIND("-", A18, FIND("-", A18, FIND("(", A18)) + 1) - FIND("-", A18, FIND("(", A18)) - 1))</f>
        <v>0</v>
      </c>
      <c r="E18" s="6">
        <f>VALUE(MID(A18, FIND("-", A18, FIND("-", A18, FIND("(", A18)) + 1) + 1, FIND(")", A18) - FIND("-", A18, FIND("-", A18, FIND("(", A18)) + 1) - 1))</f>
        <v>0</v>
      </c>
      <c r="F18" s="6">
        <f>VALUE(TRIM(MID(SUBSTITUTE(TRIM(MID(A18, FIND(")", A18)+1, LEN(A18))), " ", REPT(" ", 100)), 1, 100)))</f>
        <v>0</v>
      </c>
      <c r="G18" s="6">
        <f>VALUE(TRIM(MID(SUBSTITUTE(TRIM(MID(A18, FIND(")", A18) + 1, LEN(A18))), " ", REPT(" ", 100)), 100, 100)))</f>
        <v>1</v>
      </c>
      <c r="H18" s="6">
        <f>VALUE(TRIM(MID(SUBSTITUTE(TRIM(MID(A18, FIND(")", A18)+1, LEN(A18))), " ", REPT(" ", 100)), 201, 100)))</f>
        <v>0</v>
      </c>
      <c r="I18" s="6">
        <f>VALUE(TRIM(MID(SUBSTITUTE(TRIM(MID(A18, FIND(")", A18)+1, LEN(A18))), " ", REPT(" ", 100)), 301, 100)))</f>
        <v>0</v>
      </c>
      <c r="J18" s="6">
        <f>VALUE(TRIM(MID(SUBSTITUTE(TRIM(MID(A18, FIND(")", A18)+1, LEN(A18))), " ", REPT(" ", 100)), 401, 100)))</f>
        <v>0</v>
      </c>
      <c r="L18" s="3"/>
    </row>
    <row r="19" spans="1:12">
      <c r="A19" s="1" t="s">
        <v>28</v>
      </c>
      <c r="B19" s="1"/>
      <c r="C19" s="6">
        <f>VALUE(MID(A19, FIND("(", A19) + 1, FIND("-", A19, FIND("(", A19)) - FIND("(", A19) - 1))</f>
        <v>0</v>
      </c>
      <c r="D19" s="6">
        <f>VALUE(MID(A19, FIND("-", A19, FIND("(", A19)) + 1, FIND("-", A19, FIND("-", A19, FIND("(", A19)) + 1) - FIND("-", A19, FIND("(", A19)) - 1))</f>
        <v>0</v>
      </c>
      <c r="E19" s="6">
        <f>VALUE(MID(A19, FIND("-", A19, FIND("-", A19, FIND("(", A19)) + 1) + 1, FIND(")", A19) - FIND("-", A19, FIND("-", A19, FIND("(", A19)) + 1) - 1))</f>
        <v>0</v>
      </c>
      <c r="F19" s="6">
        <f>VALUE(TRIM(MID(SUBSTITUTE(TRIM(MID(A19, FIND(")", A19)+1, LEN(A19))), " ", REPT(" ", 100)), 1, 100)))</f>
        <v>0</v>
      </c>
      <c r="G19" s="6">
        <f>VALUE(TRIM(MID(SUBSTITUTE(TRIM(MID(A19, FIND(")", A19) + 1, LEN(A19))), " ", REPT(" ", 100)), 100, 100)))</f>
        <v>1</v>
      </c>
      <c r="H19" s="6">
        <f>VALUE(TRIM(MID(SUBSTITUTE(TRIM(MID(A19, FIND(")", A19)+1, LEN(A19))), " ", REPT(" ", 100)), 201, 100)))</f>
        <v>0</v>
      </c>
      <c r="I19" s="6">
        <f>VALUE(TRIM(MID(SUBSTITUTE(TRIM(MID(A19, FIND(")", A19)+1, LEN(A19))), " ", REPT(" ", 100)), 301, 100)))</f>
        <v>1</v>
      </c>
      <c r="J19" s="6">
        <f>VALUE(TRIM(MID(SUBSTITUTE(TRIM(MID(A19, FIND(")", A19)+1, LEN(A19))), " ", REPT(" ", 100)), 401, 100)))</f>
        <v>1</v>
      </c>
      <c r="L19" s="3"/>
    </row>
    <row r="20" spans="1:12">
      <c r="A20" s="1" t="s">
        <v>29</v>
      </c>
      <c r="B20" s="1"/>
      <c r="C20" s="6">
        <f>VALUE(MID(A20, FIND("(", A20) + 1, FIND("-", A20, FIND("(", A20)) - FIND("(", A20) - 1))</f>
        <v>3</v>
      </c>
      <c r="D20" s="6">
        <f>VALUE(MID(A20, FIND("-", A20, FIND("(", A20)) + 1, FIND("-", A20, FIND("-", A20, FIND("(", A20)) + 1) - FIND("-", A20, FIND("(", A20)) - 1))</f>
        <v>1</v>
      </c>
      <c r="E20" s="6">
        <f>VALUE(MID(A20, FIND("-", A20, FIND("-", A20, FIND("(", A20)) + 1) + 1, FIND(")", A20) - FIND("-", A20, FIND("-", A20, FIND("(", A20)) + 1) - 1))</f>
        <v>0</v>
      </c>
      <c r="F20" s="6">
        <f>VALUE(TRIM(MID(SUBSTITUTE(TRIM(MID(A20, FIND(")", A20)+1, LEN(A20))), " ", REPT(" ", 100)), 1, 100)))</f>
        <v>0</v>
      </c>
      <c r="G20" s="6">
        <f>VALUE(TRIM(MID(SUBSTITUTE(TRIM(MID(A20, FIND(")", A20) + 1, LEN(A20))), " ", REPT(" ", 100)), 100, 100)))</f>
        <v>0</v>
      </c>
      <c r="H20" s="6">
        <f>VALUE(TRIM(MID(SUBSTITUTE(TRIM(MID(A20, FIND(")", A20)+1, LEN(A20))), " ", REPT(" ", 100)), 201, 100)))</f>
        <v>0</v>
      </c>
      <c r="I20" s="6">
        <f>VALUE(TRIM(MID(SUBSTITUTE(TRIM(MID(A20, FIND(")", A20)+1, LEN(A20))), " ", REPT(" ", 100)), 301, 100)))</f>
        <v>0</v>
      </c>
      <c r="J20" s="6">
        <f>VALUE(TRIM(MID(SUBSTITUTE(TRIM(MID(A20, FIND(")", A20)+1, LEN(A20))), " ", REPT(" ", 100)), 401, 100)))</f>
        <v>0</v>
      </c>
      <c r="L20" s="3"/>
    </row>
    <row r="21" spans="1:12">
      <c r="A21" s="1" t="s">
        <v>30</v>
      </c>
      <c r="B21" s="1"/>
      <c r="C21" s="6">
        <f>VALUE(MID(A21, FIND("(", A21) + 1, FIND("-", A21, FIND("(", A21)) - FIND("(", A21) - 1))</f>
        <v>2</v>
      </c>
      <c r="D21" s="6">
        <f>VALUE(MID(A21, FIND("-", A21, FIND("(", A21)) + 1, FIND("-", A21, FIND("-", A21, FIND("(", A21)) + 1) - FIND("-", A21, FIND("(", A21)) - 1))</f>
        <v>0</v>
      </c>
      <c r="E21" s="6">
        <f>VALUE(MID(A21, FIND("-", A21, FIND("-", A21, FIND("(", A21)) + 1) + 1, FIND(")", A21) - FIND("-", A21, FIND("-", A21, FIND("(", A21)) + 1) - 1))</f>
        <v>1</v>
      </c>
      <c r="F21" s="6">
        <f>VALUE(TRIM(MID(SUBSTITUTE(TRIM(MID(A21, FIND(")", A21)+1, LEN(A21))), " ", REPT(" ", 100)), 1, 100)))</f>
        <v>1</v>
      </c>
      <c r="G21" s="6">
        <f>VALUE(TRIM(MID(SUBSTITUTE(TRIM(MID(A21, FIND(")", A21) + 1, LEN(A21))), " ", REPT(" ", 100)), 100, 100)))</f>
        <v>0</v>
      </c>
      <c r="H21" s="6">
        <f>VALUE(TRIM(MID(SUBSTITUTE(TRIM(MID(A21, FIND(")", A21)+1, LEN(A21))), " ", REPT(" ", 100)), 201, 100)))</f>
        <v>0</v>
      </c>
      <c r="I21" s="6">
        <f>VALUE(TRIM(MID(SUBSTITUTE(TRIM(MID(A21, FIND(")", A21)+1, LEN(A21))), " ", REPT(" ", 100)), 301, 100)))</f>
        <v>0</v>
      </c>
      <c r="J21" s="6">
        <f>VALUE(TRIM(MID(SUBSTITUTE(TRIM(MID(A21, FIND(")", A21)+1, LEN(A21))), " ", REPT(" ", 100)), 401, 100)))</f>
        <v>0</v>
      </c>
      <c r="L21" s="3"/>
    </row>
    <row r="22" spans="1:12">
      <c r="A22" s="1"/>
      <c r="B22" s="1"/>
      <c r="C22" s="2">
        <f>SUM(C4:C21)</f>
        <v>16</v>
      </c>
      <c r="D22" s="2">
        <f>SUM(D4:D21)</f>
        <v>22</v>
      </c>
      <c r="E22" s="2">
        <f>SUM(E4:E21)</f>
        <v>5</v>
      </c>
      <c r="F22" s="2">
        <f>SUM(F4:F21)</f>
        <v>9</v>
      </c>
      <c r="G22" s="2">
        <f>SUM(G4:G21)</f>
        <v>10</v>
      </c>
      <c r="H22" s="2">
        <f>SUM(H4:H21)</f>
        <v>11</v>
      </c>
      <c r="I22" s="2">
        <f>SUM(I4:I21)</f>
        <v>12</v>
      </c>
      <c r="J22" s="2">
        <f>SUM(J4:J21)</f>
        <v>18</v>
      </c>
      <c r="L22" s="3"/>
    </row>
    <row r="23" spans="1:12">
      <c r="A23" s="1" t="s">
        <v>31</v>
      </c>
      <c r="B23" s="1"/>
    </row>
    <row r="24" spans="1:12">
      <c r="A24" s="1" t="s">
        <v>0</v>
      </c>
      <c r="B24" s="1"/>
      <c r="C24" s="5" t="s">
        <v>1</v>
      </c>
      <c r="D24" s="5" t="s">
        <v>2</v>
      </c>
      <c r="E24" s="5" t="s">
        <v>3</v>
      </c>
      <c r="F24" s="5" t="s">
        <v>4</v>
      </c>
      <c r="G24" s="5" t="s">
        <v>5</v>
      </c>
      <c r="H24" s="5" t="s">
        <v>6</v>
      </c>
      <c r="I24" s="5" t="s">
        <v>7</v>
      </c>
      <c r="J24" s="5" t="s">
        <v>8</v>
      </c>
    </row>
    <row r="25" spans="1:12">
      <c r="A25" s="1" t="s">
        <v>32</v>
      </c>
      <c r="B25" s="1"/>
      <c r="C25" s="6">
        <f>VALUE(MID(A25, FIND("(", A25) + 1, FIND("-", A25, FIND("(", A25)) - FIND("(", A25) - 1))</f>
        <v>2</v>
      </c>
      <c r="D25" s="6">
        <f>VALUE(MID(A25, FIND("-", A25, FIND("(", A25)) + 1, FIND("-", A25, FIND("-", A25, FIND("(", A25)) + 1) - FIND("-", A25, FIND("(", A25)) - 1))</f>
        <v>3</v>
      </c>
      <c r="E25" s="6">
        <f>VALUE(MID(A25, FIND("-", A25, FIND("-", A25, FIND("(", A25)) + 1) + 1, FIND(")", A25) - FIND("-", A25, FIND("-", A25, FIND("(", A25)) + 1) - 1))</f>
        <v>1</v>
      </c>
      <c r="F25" s="6">
        <f>VALUE(TRIM(MID(SUBSTITUTE(TRIM(MID(A25, FIND(")", A25)+1, LEN(A25))), " ", REPT(" ", 100)), 1, 100)))</f>
        <v>0</v>
      </c>
      <c r="G25" s="6">
        <f>VALUE(TRIM(MID(SUBSTITUTE(TRIM(MID(A25, FIND(")", A25) + 1, LEN(A25))), " ", REPT(" ", 100)), 100, 100)))</f>
        <v>0</v>
      </c>
      <c r="H25" s="6">
        <f>VALUE(TRIM(MID(SUBSTITUTE(TRIM(MID(A25, FIND(")", A25)+1, LEN(A25))), " ", REPT(" ", 100)), 201, 100)))</f>
        <v>0</v>
      </c>
      <c r="I25" s="6">
        <f>VALUE(TRIM(MID(SUBSTITUTE(TRIM(MID(A25, FIND(")", A25)+1, LEN(A25))), " ", REPT(" ", 100)), 301, 100)))</f>
        <v>0</v>
      </c>
      <c r="J25" s="6">
        <f>VALUE(TRIM(MID(SUBSTITUTE(TRIM(MID(A25, FIND(")", A25)+1, LEN(A25))), " ", REPT(" ", 100)), 401, 100)))</f>
        <v>0</v>
      </c>
    </row>
    <row r="26" spans="1:12">
      <c r="A26" s="1" t="s">
        <v>33</v>
      </c>
      <c r="B26" s="1"/>
      <c r="C26" s="6">
        <f t="shared" ref="C26:C42" si="0">VALUE(MID(A26, FIND("(", A26) + 1, FIND("-", A26, FIND("(", A26)) - FIND("(", A26) - 1))</f>
        <v>0</v>
      </c>
      <c r="D26" s="6">
        <f t="shared" ref="D26:D42" si="1">VALUE(MID(A26, FIND("-", A26, FIND("(", A26)) + 1, FIND("-", A26, FIND("-", A26, FIND("(", A26)) + 1) - FIND("-", A26, FIND("(", A26)) - 1))</f>
        <v>2</v>
      </c>
      <c r="E26" s="6">
        <f t="shared" ref="E26:E42" si="2">VALUE(MID(A26, FIND("-", A26, FIND("-", A26, FIND("(", A26)) + 1) + 1, FIND(")", A26) - FIND("-", A26, FIND("-", A26, FIND("(", A26)) + 1) - 1))</f>
        <v>2</v>
      </c>
      <c r="F26" s="6">
        <f t="shared" ref="F26:F42" si="3">VALUE(TRIM(MID(SUBSTITUTE(TRIM(MID(A26, FIND(")", A26)+1, LEN(A26))), " ", REPT(" ", 100)), 1, 100)))</f>
        <v>0</v>
      </c>
      <c r="G26" s="6">
        <f t="shared" ref="G26:G42" si="4">VALUE(TRIM(MID(SUBSTITUTE(TRIM(MID(A26, FIND(")", A26) + 1, LEN(A26))), " ", REPT(" ", 100)), 100, 100)))</f>
        <v>0</v>
      </c>
      <c r="H26" s="6">
        <f t="shared" ref="H26:H42" si="5">VALUE(TRIM(MID(SUBSTITUTE(TRIM(MID(A26, FIND(")", A26)+1, LEN(A26))), " ", REPT(" ", 100)), 201, 100)))</f>
        <v>0</v>
      </c>
      <c r="I26" s="6">
        <f t="shared" ref="I26:I42" si="6">VALUE(TRIM(MID(SUBSTITUTE(TRIM(MID(A26, FIND(")", A26)+1, LEN(A26))), " ", REPT(" ", 100)), 301, 100)))</f>
        <v>0</v>
      </c>
      <c r="J26" s="6">
        <f t="shared" ref="J26:J42" si="7">VALUE(TRIM(MID(SUBSTITUTE(TRIM(MID(A26, FIND(")", A26)+1, LEN(A26))), " ", REPT(" ", 100)), 401, 100)))</f>
        <v>0</v>
      </c>
    </row>
    <row r="27" spans="1:12">
      <c r="A27" s="1" t="s">
        <v>34</v>
      </c>
      <c r="B27" s="1"/>
      <c r="C27" s="6">
        <f t="shared" si="0"/>
        <v>0</v>
      </c>
      <c r="D27" s="6">
        <f t="shared" si="1"/>
        <v>0</v>
      </c>
      <c r="E27" s="6">
        <f t="shared" si="2"/>
        <v>1</v>
      </c>
      <c r="F27" s="6">
        <f t="shared" si="3"/>
        <v>0</v>
      </c>
      <c r="G27" s="6">
        <f t="shared" si="4"/>
        <v>0</v>
      </c>
      <c r="H27" s="6">
        <f t="shared" si="5"/>
        <v>0</v>
      </c>
      <c r="I27" s="6">
        <f t="shared" si="6"/>
        <v>2</v>
      </c>
      <c r="J27" s="6">
        <f t="shared" si="7"/>
        <v>2</v>
      </c>
    </row>
    <row r="28" spans="1:12">
      <c r="A28" s="1" t="s">
        <v>35</v>
      </c>
      <c r="B28" s="1"/>
      <c r="C28" s="6">
        <f t="shared" si="0"/>
        <v>0</v>
      </c>
      <c r="D28" s="6">
        <f t="shared" si="1"/>
        <v>0</v>
      </c>
      <c r="E28" s="6">
        <f t="shared" si="2"/>
        <v>1</v>
      </c>
      <c r="F28" s="6">
        <f t="shared" si="3"/>
        <v>0</v>
      </c>
      <c r="G28" s="6">
        <f t="shared" si="4"/>
        <v>0</v>
      </c>
      <c r="H28" s="6">
        <f t="shared" si="5"/>
        <v>1</v>
      </c>
      <c r="I28" s="6">
        <f t="shared" si="6"/>
        <v>0</v>
      </c>
      <c r="J28" s="6">
        <f t="shared" si="7"/>
        <v>1</v>
      </c>
    </row>
    <row r="29" spans="1:12">
      <c r="A29" s="1" t="s">
        <v>36</v>
      </c>
      <c r="B29" s="1"/>
      <c r="C29" s="6">
        <f t="shared" si="0"/>
        <v>2</v>
      </c>
      <c r="D29" s="6">
        <f t="shared" si="1"/>
        <v>0</v>
      </c>
      <c r="E29" s="6">
        <f t="shared" si="2"/>
        <v>1</v>
      </c>
      <c r="F29" s="6">
        <f t="shared" si="3"/>
        <v>1</v>
      </c>
      <c r="G29" s="6">
        <f t="shared" si="4"/>
        <v>0</v>
      </c>
      <c r="H29" s="6">
        <f t="shared" si="5"/>
        <v>1</v>
      </c>
      <c r="I29" s="6">
        <f t="shared" si="6"/>
        <v>1</v>
      </c>
      <c r="J29" s="6">
        <f t="shared" si="7"/>
        <v>2</v>
      </c>
    </row>
    <row r="30" spans="1:12">
      <c r="A30" s="1" t="s">
        <v>37</v>
      </c>
      <c r="B30" s="1"/>
      <c r="C30" s="6">
        <f t="shared" si="0"/>
        <v>0</v>
      </c>
      <c r="D30" s="6">
        <f t="shared" si="1"/>
        <v>3</v>
      </c>
      <c r="E30" s="6">
        <f t="shared" si="2"/>
        <v>0</v>
      </c>
      <c r="F30" s="6">
        <f t="shared" si="3"/>
        <v>0</v>
      </c>
      <c r="G30" s="6">
        <f t="shared" si="4"/>
        <v>0</v>
      </c>
      <c r="H30" s="6">
        <f t="shared" si="5"/>
        <v>0</v>
      </c>
      <c r="I30" s="6">
        <f t="shared" si="6"/>
        <v>1</v>
      </c>
      <c r="J30" s="6">
        <f t="shared" si="7"/>
        <v>1</v>
      </c>
    </row>
    <row r="31" spans="1:12">
      <c r="A31" s="1" t="s">
        <v>38</v>
      </c>
      <c r="B31" s="1"/>
      <c r="C31" s="6">
        <f t="shared" si="0"/>
        <v>2</v>
      </c>
      <c r="D31" s="6">
        <f t="shared" si="1"/>
        <v>0</v>
      </c>
      <c r="E31" s="6">
        <f t="shared" si="2"/>
        <v>1</v>
      </c>
      <c r="F31" s="6">
        <f t="shared" si="3"/>
        <v>0</v>
      </c>
      <c r="G31" s="6">
        <f t="shared" si="4"/>
        <v>0</v>
      </c>
      <c r="H31" s="6">
        <f t="shared" si="5"/>
        <v>0</v>
      </c>
      <c r="I31" s="6">
        <f t="shared" si="6"/>
        <v>0</v>
      </c>
      <c r="J31" s="6">
        <f t="shared" si="7"/>
        <v>0</v>
      </c>
    </row>
    <row r="32" spans="1:12">
      <c r="A32" s="1" t="s">
        <v>39</v>
      </c>
      <c r="B32" s="1"/>
      <c r="C32" s="6">
        <f t="shared" si="0"/>
        <v>0</v>
      </c>
      <c r="D32" s="6">
        <f t="shared" si="1"/>
        <v>3</v>
      </c>
      <c r="E32" s="6">
        <f t="shared" si="2"/>
        <v>1</v>
      </c>
      <c r="F32" s="6">
        <f t="shared" si="3"/>
        <v>0</v>
      </c>
      <c r="G32" s="6">
        <f t="shared" si="4"/>
        <v>0</v>
      </c>
      <c r="H32" s="6">
        <f t="shared" si="5"/>
        <v>0</v>
      </c>
      <c r="I32" s="6">
        <f t="shared" si="6"/>
        <v>0</v>
      </c>
      <c r="J32" s="6">
        <f t="shared" si="7"/>
        <v>0</v>
      </c>
    </row>
    <row r="33" spans="1:10">
      <c r="A33" s="1" t="s">
        <v>40</v>
      </c>
      <c r="B33" s="1"/>
      <c r="C33" s="6">
        <f t="shared" si="0"/>
        <v>1</v>
      </c>
      <c r="D33" s="6">
        <f t="shared" si="1"/>
        <v>0</v>
      </c>
      <c r="E33" s="6">
        <f t="shared" si="2"/>
        <v>0</v>
      </c>
      <c r="F33" s="6">
        <f t="shared" si="3"/>
        <v>0</v>
      </c>
      <c r="G33" s="6">
        <f t="shared" si="4"/>
        <v>0</v>
      </c>
      <c r="H33" s="6">
        <f t="shared" si="5"/>
        <v>2</v>
      </c>
      <c r="I33" s="6">
        <f t="shared" si="6"/>
        <v>1</v>
      </c>
      <c r="J33" s="6">
        <f t="shared" si="7"/>
        <v>3</v>
      </c>
    </row>
    <row r="34" spans="1:10">
      <c r="A34" s="1" t="s">
        <v>41</v>
      </c>
      <c r="B34" s="1"/>
      <c r="C34" s="6">
        <f t="shared" si="0"/>
        <v>3</v>
      </c>
      <c r="D34" s="6">
        <f t="shared" si="1"/>
        <v>1</v>
      </c>
      <c r="E34" s="6">
        <f t="shared" si="2"/>
        <v>1</v>
      </c>
      <c r="F34" s="6">
        <f t="shared" si="3"/>
        <v>0</v>
      </c>
      <c r="G34" s="6">
        <f t="shared" si="4"/>
        <v>1</v>
      </c>
      <c r="H34" s="6">
        <f t="shared" si="5"/>
        <v>0</v>
      </c>
      <c r="I34" s="6">
        <f t="shared" si="6"/>
        <v>0</v>
      </c>
      <c r="J34" s="6">
        <f t="shared" si="7"/>
        <v>0</v>
      </c>
    </row>
    <row r="35" spans="1:10">
      <c r="A35" s="1" t="s">
        <v>42</v>
      </c>
      <c r="B35" s="1"/>
      <c r="C35" s="6">
        <f t="shared" si="0"/>
        <v>2</v>
      </c>
      <c r="D35" s="6">
        <f t="shared" si="1"/>
        <v>0</v>
      </c>
      <c r="E35" s="6">
        <f t="shared" si="2"/>
        <v>0</v>
      </c>
      <c r="F35" s="6">
        <f t="shared" si="3"/>
        <v>0</v>
      </c>
      <c r="G35" s="6">
        <f t="shared" si="4"/>
        <v>0</v>
      </c>
      <c r="H35" s="6">
        <f t="shared" si="5"/>
        <v>1</v>
      </c>
      <c r="I35" s="6">
        <f t="shared" si="6"/>
        <v>0</v>
      </c>
      <c r="J35" s="6">
        <f t="shared" si="7"/>
        <v>1</v>
      </c>
    </row>
    <row r="36" spans="1:10">
      <c r="A36" s="1" t="s">
        <v>43</v>
      </c>
      <c r="B36" s="1"/>
      <c r="C36" s="6">
        <f t="shared" si="0"/>
        <v>0</v>
      </c>
      <c r="D36" s="6">
        <f t="shared" si="1"/>
        <v>1</v>
      </c>
      <c r="E36" s="6">
        <f t="shared" si="2"/>
        <v>1</v>
      </c>
      <c r="F36" s="6">
        <f t="shared" si="3"/>
        <v>0</v>
      </c>
      <c r="G36" s="6">
        <f t="shared" si="4"/>
        <v>0</v>
      </c>
      <c r="H36" s="6">
        <f t="shared" si="5"/>
        <v>0</v>
      </c>
      <c r="I36" s="6">
        <f t="shared" si="6"/>
        <v>1</v>
      </c>
      <c r="J36" s="6">
        <f t="shared" si="7"/>
        <v>1</v>
      </c>
    </row>
    <row r="37" spans="1:10">
      <c r="A37" s="1" t="s">
        <v>44</v>
      </c>
      <c r="B37" s="1"/>
      <c r="C37" s="6">
        <f t="shared" si="0"/>
        <v>0</v>
      </c>
      <c r="D37" s="6">
        <f t="shared" si="1"/>
        <v>0</v>
      </c>
      <c r="E37" s="6">
        <f t="shared" si="2"/>
        <v>0</v>
      </c>
      <c r="F37" s="6">
        <f t="shared" si="3"/>
        <v>0</v>
      </c>
      <c r="G37" s="6">
        <f t="shared" si="4"/>
        <v>0</v>
      </c>
      <c r="H37" s="6">
        <f t="shared" si="5"/>
        <v>0</v>
      </c>
      <c r="I37" s="6">
        <f t="shared" si="6"/>
        <v>0</v>
      </c>
      <c r="J37" s="6">
        <f t="shared" si="7"/>
        <v>0</v>
      </c>
    </row>
    <row r="38" spans="1:10">
      <c r="A38" s="1" t="s">
        <v>45</v>
      </c>
      <c r="B38" s="1"/>
      <c r="C38" s="6">
        <f t="shared" si="0"/>
        <v>1</v>
      </c>
      <c r="D38" s="6">
        <f t="shared" si="1"/>
        <v>0</v>
      </c>
      <c r="E38" s="6">
        <f t="shared" si="2"/>
        <v>0</v>
      </c>
      <c r="F38" s="6">
        <f t="shared" si="3"/>
        <v>0</v>
      </c>
      <c r="G38" s="6">
        <f t="shared" si="4"/>
        <v>1</v>
      </c>
      <c r="H38" s="6">
        <f t="shared" si="5"/>
        <v>0</v>
      </c>
      <c r="I38" s="6">
        <f t="shared" si="6"/>
        <v>1</v>
      </c>
      <c r="J38" s="6">
        <f t="shared" si="7"/>
        <v>1</v>
      </c>
    </row>
    <row r="39" spans="1:10">
      <c r="A39" s="1" t="s">
        <v>46</v>
      </c>
      <c r="B39" s="1"/>
      <c r="C39" s="6">
        <f t="shared" si="0"/>
        <v>0</v>
      </c>
      <c r="D39" s="6">
        <f t="shared" si="1"/>
        <v>0</v>
      </c>
      <c r="E39" s="6">
        <f t="shared" si="2"/>
        <v>0</v>
      </c>
      <c r="F39" s="6">
        <f t="shared" si="3"/>
        <v>0</v>
      </c>
      <c r="G39" s="6">
        <f t="shared" si="4"/>
        <v>0</v>
      </c>
      <c r="H39" s="6">
        <f t="shared" si="5"/>
        <v>0</v>
      </c>
      <c r="I39" s="6">
        <f t="shared" si="6"/>
        <v>0</v>
      </c>
      <c r="J39" s="6">
        <f t="shared" si="7"/>
        <v>0</v>
      </c>
    </row>
    <row r="40" spans="1:10">
      <c r="A40" s="1" t="s">
        <v>47</v>
      </c>
      <c r="B40" s="1"/>
      <c r="C40" s="6">
        <f t="shared" si="0"/>
        <v>1</v>
      </c>
      <c r="D40" s="6">
        <f t="shared" si="1"/>
        <v>0</v>
      </c>
      <c r="E40" s="6">
        <f t="shared" si="2"/>
        <v>0</v>
      </c>
      <c r="F40" s="6">
        <f t="shared" si="3"/>
        <v>0</v>
      </c>
      <c r="G40" s="6">
        <f t="shared" si="4"/>
        <v>0</v>
      </c>
      <c r="H40" s="6">
        <f t="shared" si="5"/>
        <v>0</v>
      </c>
      <c r="I40" s="6">
        <f t="shared" si="6"/>
        <v>0</v>
      </c>
      <c r="J40" s="6">
        <f t="shared" si="7"/>
        <v>0</v>
      </c>
    </row>
    <row r="41" spans="1:10">
      <c r="A41" s="1" t="s">
        <v>48</v>
      </c>
      <c r="B41" s="1"/>
      <c r="C41" s="6">
        <f t="shared" si="0"/>
        <v>2</v>
      </c>
      <c r="D41" s="6">
        <f t="shared" si="1"/>
        <v>0</v>
      </c>
      <c r="E41" s="6">
        <f t="shared" si="2"/>
        <v>0</v>
      </c>
      <c r="F41" s="6">
        <f t="shared" si="3"/>
        <v>0</v>
      </c>
      <c r="G41" s="6">
        <f t="shared" si="4"/>
        <v>0</v>
      </c>
      <c r="H41" s="6">
        <f t="shared" si="5"/>
        <v>0</v>
      </c>
      <c r="I41" s="6">
        <f t="shared" si="6"/>
        <v>1</v>
      </c>
      <c r="J41" s="6">
        <f t="shared" si="7"/>
        <v>1</v>
      </c>
    </row>
    <row r="42" spans="1:10">
      <c r="A42" s="1" t="s">
        <v>49</v>
      </c>
      <c r="B42" s="1"/>
      <c r="C42" s="6">
        <f t="shared" si="0"/>
        <v>0</v>
      </c>
      <c r="D42" s="6">
        <f t="shared" si="1"/>
        <v>0</v>
      </c>
      <c r="E42" s="6">
        <f t="shared" si="2"/>
        <v>0</v>
      </c>
      <c r="F42" s="6">
        <f t="shared" si="3"/>
        <v>0</v>
      </c>
      <c r="G42" s="6">
        <f t="shared" si="4"/>
        <v>2</v>
      </c>
      <c r="H42" s="6">
        <f t="shared" si="5"/>
        <v>3</v>
      </c>
      <c r="I42" s="6">
        <f t="shared" si="6"/>
        <v>0</v>
      </c>
      <c r="J42" s="6">
        <f t="shared" si="7"/>
        <v>3</v>
      </c>
    </row>
    <row r="43" spans="1:10">
      <c r="C43" s="2">
        <f>SUM(C25:C42)</f>
        <v>16</v>
      </c>
      <c r="D43" s="2">
        <f>SUM(D25:D42)</f>
        <v>13</v>
      </c>
      <c r="E43" s="2">
        <f>SUM(E25:E42)</f>
        <v>10</v>
      </c>
      <c r="F43" s="2">
        <f t="shared" ref="F43:J43" si="8">SUM(F25:F42)</f>
        <v>1</v>
      </c>
      <c r="G43" s="2">
        <f t="shared" si="8"/>
        <v>4</v>
      </c>
      <c r="H43" s="2">
        <f t="shared" si="8"/>
        <v>8</v>
      </c>
      <c r="I43" s="2">
        <f t="shared" si="8"/>
        <v>8</v>
      </c>
      <c r="J43" s="2">
        <f t="shared" si="8"/>
        <v>16</v>
      </c>
    </row>
    <row r="46" spans="1:10">
      <c r="A46" t="s">
        <v>9</v>
      </c>
    </row>
    <row r="47" spans="1:10">
      <c r="A47" t="s">
        <v>10</v>
      </c>
    </row>
    <row r="48" spans="1:10">
      <c r="A48" t="s">
        <v>11</v>
      </c>
    </row>
    <row r="49" spans="1:1">
      <c r="A49" t="s">
        <v>12</v>
      </c>
    </row>
  </sheetData>
  <pageMargins left="0.7" right="0.7" top="0.75" bottom="0.75" header="0.3" footer="0.3"/>
  <pageSetup orientation="portrait" verticalDpi="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F758C-8727-4007-A576-004943546C74}">
  <dimension ref="A1:L47"/>
  <sheetViews>
    <sheetView workbookViewId="0"/>
  </sheetViews>
  <sheetFormatPr defaultRowHeight="15"/>
  <cols>
    <col min="1" max="1" width="92.85546875" bestFit="1" customWidth="1"/>
    <col min="3" max="10" width="12.28515625" style="5" customWidth="1"/>
    <col min="12" max="12" width="10.28515625" bestFit="1" customWidth="1"/>
  </cols>
  <sheetData>
    <row r="1" spans="1:12" ht="15.75">
      <c r="A1" s="4" t="s">
        <v>51</v>
      </c>
      <c r="B1" s="1"/>
    </row>
    <row r="2" spans="1:12">
      <c r="A2" s="1" t="s">
        <v>117</v>
      </c>
      <c r="B2" s="1"/>
    </row>
    <row r="3" spans="1:12">
      <c r="A3" s="1" t="s">
        <v>0</v>
      </c>
      <c r="B3" s="1"/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</row>
    <row r="4" spans="1:12">
      <c r="A4" s="1" t="s">
        <v>118</v>
      </c>
      <c r="B4" s="1"/>
      <c r="C4" s="6">
        <f>VALUE(MID(A4, FIND("(", A4) + 1, FIND("-", A4, FIND("(", A4)) - FIND("(", A4) - 1))</f>
        <v>2</v>
      </c>
      <c r="D4" s="6">
        <f>VALUE(MID(A4, FIND("-", A4, FIND("(", A4)) + 1, FIND("-", A4, FIND("-", A4, FIND("(", A4)) + 1) - FIND("-", A4, FIND("(", A4)) - 1))</f>
        <v>1</v>
      </c>
      <c r="E4" s="6">
        <f>VALUE(MID(A4, FIND("-", A4, FIND("-", A4, FIND("(", A4)) + 1) + 1, FIND(")", A4) - FIND("-", A4, FIND("-", A4, FIND("(", A4)) + 1) - 1))</f>
        <v>0</v>
      </c>
      <c r="F4" s="6">
        <f>VALUE(TRIM(MID(SUBSTITUTE(TRIM(MID(A4, FIND(")", A4)+1, LEN(A4))), " ", REPT(" ", 100)), 1, 100)))</f>
        <v>1</v>
      </c>
      <c r="G4" s="6">
        <f>VALUE(TRIM(MID(SUBSTITUTE(TRIM(MID(A4, FIND(")", A4) + 1, LEN(A4))), " ", REPT(" ", 100)), 100, 100)))</f>
        <v>0</v>
      </c>
      <c r="H4" s="6">
        <f>VALUE(TRIM(MID(SUBSTITUTE(TRIM(MID(A4, FIND(")", A4)+1, LEN(A4))), " ", REPT(" ", 100)), 201, 100)))</f>
        <v>0</v>
      </c>
      <c r="I4" s="6">
        <f>VALUE(TRIM(MID(SUBSTITUTE(TRIM(MID(A4, FIND(")", A4)+1, LEN(A4))), " ", REPT(" ", 100)), 301, 100)))</f>
        <v>0</v>
      </c>
      <c r="J4" s="6">
        <f>VALUE(TRIM(MID(SUBSTITUTE(TRIM(MID(A4, FIND(")", A4)+1, LEN(A4))), " ", REPT(" ", 100)), 401, 100)))</f>
        <v>0</v>
      </c>
      <c r="L4" s="3"/>
    </row>
    <row r="5" spans="1:12">
      <c r="A5" s="1" t="s">
        <v>119</v>
      </c>
      <c r="B5" s="1"/>
      <c r="C5" s="6">
        <f>VALUE(MID(A5, FIND("(", A5) + 1, FIND("-", A5, FIND("(", A5)) - FIND("(", A5) - 1))</f>
        <v>3</v>
      </c>
      <c r="D5" s="6">
        <f>VALUE(MID(A5, FIND("-", A5, FIND("(", A5)) + 1, FIND("-", A5, FIND("-", A5, FIND("(", A5)) + 1) - FIND("-", A5, FIND("(", A5)) - 1))</f>
        <v>0</v>
      </c>
      <c r="E5" s="6">
        <f>VALUE(MID(A5, FIND("-", A5, FIND("-", A5, FIND("(", A5)) + 1) + 1, FIND(")", A5) - FIND("-", A5, FIND("-", A5, FIND("(", A5)) + 1) - 1))</f>
        <v>0</v>
      </c>
      <c r="F5" s="6">
        <f>VALUE(TRIM(MID(SUBSTITUTE(TRIM(MID(A5, FIND(")", A5)+1, LEN(A5))), " ", REPT(" ", 100)), 1, 100)))</f>
        <v>1</v>
      </c>
      <c r="G5" s="6">
        <f>VALUE(TRIM(MID(SUBSTITUTE(TRIM(MID(A5, FIND(")", A5) + 1, LEN(A5))), " ", REPT(" ", 100)), 100, 100)))</f>
        <v>1</v>
      </c>
      <c r="H5" s="6">
        <f>VALUE(TRIM(MID(SUBSTITUTE(TRIM(MID(A5, FIND(")", A5)+1, LEN(A5))), " ", REPT(" ", 100)), 201, 100)))</f>
        <v>0</v>
      </c>
      <c r="I5" s="6">
        <f>VALUE(TRIM(MID(SUBSTITUTE(TRIM(MID(A5, FIND(")", A5)+1, LEN(A5))), " ", REPT(" ", 100)), 301, 100)))</f>
        <v>2</v>
      </c>
      <c r="J5" s="6">
        <f>VALUE(TRIM(MID(SUBSTITUTE(TRIM(MID(A5, FIND(")", A5)+1, LEN(A5))), " ", REPT(" ", 100)), 401, 100)))</f>
        <v>2</v>
      </c>
      <c r="L5" s="3"/>
    </row>
    <row r="6" spans="1:12">
      <c r="A6" s="1" t="s">
        <v>120</v>
      </c>
      <c r="B6" s="1"/>
      <c r="C6" s="6">
        <f>VALUE(MID(A6, FIND("(", A6) + 1, FIND("-", A6, FIND("(", A6)) - FIND("(", A6) - 1))</f>
        <v>0</v>
      </c>
      <c r="D6" s="6">
        <f>VALUE(MID(A6, FIND("-", A6, FIND("(", A6)) + 1, FIND("-", A6, FIND("-", A6, FIND("(", A6)) + 1) - FIND("-", A6, FIND("(", A6)) - 1))</f>
        <v>1</v>
      </c>
      <c r="E6" s="6">
        <f>VALUE(MID(A6, FIND("-", A6, FIND("-", A6, FIND("(", A6)) + 1) + 1, FIND(")", A6) - FIND("-", A6, FIND("-", A6, FIND("(", A6)) + 1) - 1))</f>
        <v>1</v>
      </c>
      <c r="F6" s="6">
        <f>VALUE(TRIM(MID(SUBSTITUTE(TRIM(MID(A6, FIND(")", A6)+1, LEN(A6))), " ", REPT(" ", 100)), 1, 100)))</f>
        <v>0</v>
      </c>
      <c r="G6" s="6">
        <f>VALUE(TRIM(MID(SUBSTITUTE(TRIM(MID(A6, FIND(")", A6) + 1, LEN(A6))), " ", REPT(" ", 100)), 100, 100)))</f>
        <v>1</v>
      </c>
      <c r="H6" s="6">
        <f>VALUE(TRIM(MID(SUBSTITUTE(TRIM(MID(A6, FIND(")", A6)+1, LEN(A6))), " ", REPT(" ", 100)), 201, 100)))</f>
        <v>1</v>
      </c>
      <c r="I6" s="6">
        <f>VALUE(TRIM(MID(SUBSTITUTE(TRIM(MID(A6, FIND(")", A6)+1, LEN(A6))), " ", REPT(" ", 100)), 301, 100)))</f>
        <v>1</v>
      </c>
      <c r="J6" s="6">
        <f>VALUE(TRIM(MID(SUBSTITUTE(TRIM(MID(A6, FIND(")", A6)+1, LEN(A6))), " ", REPT(" ", 100)), 401, 100)))</f>
        <v>2</v>
      </c>
      <c r="L6" s="3"/>
    </row>
    <row r="7" spans="1:12">
      <c r="A7" s="1" t="s">
        <v>121</v>
      </c>
      <c r="B7" s="1"/>
      <c r="C7" s="6">
        <f>VALUE(MID(A7, FIND("(", A7) + 1, FIND("-", A7, FIND("(", A7)) - FIND("(", A7) - 1))</f>
        <v>2</v>
      </c>
      <c r="D7" s="6">
        <f>VALUE(MID(A7, FIND("-", A7, FIND("(", A7)) + 1, FIND("-", A7, FIND("-", A7, FIND("(", A7)) + 1) - FIND("-", A7, FIND("(", A7)) - 1))</f>
        <v>2</v>
      </c>
      <c r="E7" s="6">
        <f>VALUE(MID(A7, FIND("-", A7, FIND("-", A7, FIND("(", A7)) + 1) + 1, FIND(")", A7) - FIND("-", A7, FIND("-", A7, FIND("(", A7)) + 1) - 1))</f>
        <v>1</v>
      </c>
      <c r="F7" s="6">
        <f>VALUE(TRIM(MID(SUBSTITUTE(TRIM(MID(A7, FIND(")", A7)+1, LEN(A7))), " ", REPT(" ", 100)), 1, 100)))</f>
        <v>0</v>
      </c>
      <c r="G7" s="6">
        <f>VALUE(TRIM(MID(SUBSTITUTE(TRIM(MID(A7, FIND(")", A7) + 1, LEN(A7))), " ", REPT(" ", 100)), 100, 100)))</f>
        <v>1</v>
      </c>
      <c r="H7" s="6">
        <f>VALUE(TRIM(MID(SUBSTITUTE(TRIM(MID(A7, FIND(")", A7)+1, LEN(A7))), " ", REPT(" ", 100)), 201, 100)))</f>
        <v>0</v>
      </c>
      <c r="I7" s="6">
        <f>VALUE(TRIM(MID(SUBSTITUTE(TRIM(MID(A7, FIND(")", A7)+1, LEN(A7))), " ", REPT(" ", 100)), 301, 100)))</f>
        <v>1</v>
      </c>
      <c r="J7" s="6">
        <f>VALUE(TRIM(MID(SUBSTITUTE(TRIM(MID(A7, FIND(")", A7)+1, LEN(A7))), " ", REPT(" ", 100)), 401, 100)))</f>
        <v>1</v>
      </c>
      <c r="L7" s="3"/>
    </row>
    <row r="8" spans="1:12">
      <c r="A8" s="1" t="s">
        <v>122</v>
      </c>
      <c r="B8" s="1"/>
      <c r="C8" s="6">
        <f>VALUE(MID(A8, FIND("(", A8) + 1, FIND("-", A8, FIND("(", A8)) - FIND("(", A8) - 1))</f>
        <v>1</v>
      </c>
      <c r="D8" s="6">
        <f>VALUE(MID(A8, FIND("-", A8, FIND("(", A8)) + 1, FIND("-", A8, FIND("-", A8, FIND("(", A8)) + 1) - FIND("-", A8, FIND("(", A8)) - 1))</f>
        <v>3</v>
      </c>
      <c r="E8" s="6">
        <f>VALUE(MID(A8, FIND("-", A8, FIND("-", A8, FIND("(", A8)) + 1) + 1, FIND(")", A8) - FIND("-", A8, FIND("-", A8, FIND("(", A8)) + 1) - 1))</f>
        <v>0</v>
      </c>
      <c r="F8" s="6">
        <f>VALUE(TRIM(MID(SUBSTITUTE(TRIM(MID(A8, FIND(")", A8)+1, LEN(A8))), " ", REPT(" ", 100)), 1, 100)))</f>
        <v>0</v>
      </c>
      <c r="G8" s="6">
        <f>VALUE(TRIM(MID(SUBSTITUTE(TRIM(MID(A8, FIND(")", A8) + 1, LEN(A8))), " ", REPT(" ", 100)), 100, 100)))</f>
        <v>0</v>
      </c>
      <c r="H8" s="6">
        <f>VALUE(TRIM(MID(SUBSTITUTE(TRIM(MID(A8, FIND(")", A8)+1, LEN(A8))), " ", REPT(" ", 100)), 201, 100)))</f>
        <v>0</v>
      </c>
      <c r="I8" s="6">
        <f>VALUE(TRIM(MID(SUBSTITUTE(TRIM(MID(A8, FIND(")", A8)+1, LEN(A8))), " ", REPT(" ", 100)), 301, 100)))</f>
        <v>1</v>
      </c>
      <c r="J8" s="6">
        <f>VALUE(TRIM(MID(SUBSTITUTE(TRIM(MID(A8, FIND(")", A8)+1, LEN(A8))), " ", REPT(" ", 100)), 401, 100)))</f>
        <v>1</v>
      </c>
      <c r="L8" s="3"/>
    </row>
    <row r="9" spans="1:12">
      <c r="A9" s="1" t="s">
        <v>123</v>
      </c>
      <c r="B9" s="1"/>
      <c r="C9" s="6">
        <f>VALUE(MID(A9, FIND("(", A9) + 1, FIND("-", A9, FIND("(", A9)) - FIND("(", A9) - 1))</f>
        <v>0</v>
      </c>
      <c r="D9" s="6">
        <f>VALUE(MID(A9, FIND("-", A9, FIND("(", A9)) + 1, FIND("-", A9, FIND("-", A9, FIND("(", A9)) + 1) - FIND("-", A9, FIND("(", A9)) - 1))</f>
        <v>2</v>
      </c>
      <c r="E9" s="6">
        <f>VALUE(MID(A9, FIND("-", A9, FIND("-", A9, FIND("(", A9)) + 1) + 1, FIND(")", A9) - FIND("-", A9, FIND("-", A9, FIND("(", A9)) + 1) - 1))</f>
        <v>0</v>
      </c>
      <c r="F9" s="6">
        <f>VALUE(TRIM(MID(SUBSTITUTE(TRIM(MID(A9, FIND(")", A9)+1, LEN(A9))), " ", REPT(" ", 100)), 1, 100)))</f>
        <v>0</v>
      </c>
      <c r="G9" s="6">
        <f>VALUE(TRIM(MID(SUBSTITUTE(TRIM(MID(A9, FIND(")", A9) + 1, LEN(A9))), " ", REPT(" ", 100)), 100, 100)))</f>
        <v>0</v>
      </c>
      <c r="H9" s="6">
        <f>VALUE(TRIM(MID(SUBSTITUTE(TRIM(MID(A9, FIND(")", A9)+1, LEN(A9))), " ", REPT(" ", 100)), 201, 100)))</f>
        <v>0</v>
      </c>
      <c r="I9" s="6">
        <f>VALUE(TRIM(MID(SUBSTITUTE(TRIM(MID(A9, FIND(")", A9)+1, LEN(A9))), " ", REPT(" ", 100)), 301, 100)))</f>
        <v>2</v>
      </c>
      <c r="J9" s="6">
        <f>VALUE(TRIM(MID(SUBSTITUTE(TRIM(MID(A9, FIND(")", A9)+1, LEN(A9))), " ", REPT(" ", 100)), 401, 100)))</f>
        <v>2</v>
      </c>
      <c r="L9" s="3"/>
    </row>
    <row r="10" spans="1:12">
      <c r="A10" s="1" t="s">
        <v>124</v>
      </c>
      <c r="B10" s="1"/>
      <c r="C10" s="6">
        <f>VALUE(MID(A10, FIND("(", A10) + 1, FIND("-", A10, FIND("(", A10)) - FIND("(", A10) - 1))</f>
        <v>0</v>
      </c>
      <c r="D10" s="6">
        <f>VALUE(MID(A10, FIND("-", A10, FIND("(", A10)) + 1, FIND("-", A10, FIND("-", A10, FIND("(", A10)) + 1) - FIND("-", A10, FIND("(", A10)) - 1))</f>
        <v>3</v>
      </c>
      <c r="E10" s="6">
        <f>VALUE(MID(A10, FIND("-", A10, FIND("-", A10, FIND("(", A10)) + 1) + 1, FIND(")", A10) - FIND("-", A10, FIND("-", A10, FIND("(", A10)) + 1) - 1))</f>
        <v>0</v>
      </c>
      <c r="F10" s="6">
        <f>VALUE(TRIM(MID(SUBSTITUTE(TRIM(MID(A10, FIND(")", A10)+1, LEN(A10))), " ", REPT(" ", 100)), 1, 100)))</f>
        <v>0</v>
      </c>
      <c r="G10" s="6">
        <f>VALUE(TRIM(MID(SUBSTITUTE(TRIM(MID(A10, FIND(")", A10) + 1, LEN(A10))), " ", REPT(" ", 100)), 100, 100)))</f>
        <v>0</v>
      </c>
      <c r="H10" s="6">
        <f>VALUE(TRIM(MID(SUBSTITUTE(TRIM(MID(A10, FIND(")", A10)+1, LEN(A10))), " ", REPT(" ", 100)), 201, 100)))</f>
        <v>1</v>
      </c>
      <c r="I10" s="6">
        <f>VALUE(TRIM(MID(SUBSTITUTE(TRIM(MID(A10, FIND(")", A10)+1, LEN(A10))), " ", REPT(" ", 100)), 301, 100)))</f>
        <v>1</v>
      </c>
      <c r="J10" s="6">
        <f>VALUE(TRIM(MID(SUBSTITUTE(TRIM(MID(A10, FIND(")", A10)+1, LEN(A10))), " ", REPT(" ", 100)), 401, 100)))</f>
        <v>2</v>
      </c>
      <c r="L10" s="3"/>
    </row>
    <row r="11" spans="1:12">
      <c r="A11" s="1" t="s">
        <v>125</v>
      </c>
      <c r="B11" s="1"/>
      <c r="C11" s="6">
        <f>VALUE(MID(A11, FIND("(", A11) + 1, FIND("-", A11, FIND("(", A11)) - FIND("(", A11) - 1))</f>
        <v>0</v>
      </c>
      <c r="D11" s="6">
        <f>VALUE(MID(A11, FIND("-", A11, FIND("(", A11)) + 1, FIND("-", A11, FIND("-", A11, FIND("(", A11)) + 1) - FIND("-", A11, FIND("(", A11)) - 1))</f>
        <v>0</v>
      </c>
      <c r="E11" s="6">
        <f>VALUE(MID(A11, FIND("-", A11, FIND("-", A11, FIND("(", A11)) + 1) + 1, FIND(")", A11) - FIND("-", A11, FIND("-", A11, FIND("(", A11)) + 1) - 1))</f>
        <v>0</v>
      </c>
      <c r="F11" s="6">
        <f>VALUE(TRIM(MID(SUBSTITUTE(TRIM(MID(A11, FIND(")", A11)+1, LEN(A11))), " ", REPT(" ", 100)), 1, 100)))</f>
        <v>0</v>
      </c>
      <c r="G11" s="6">
        <f>VALUE(TRIM(MID(SUBSTITUTE(TRIM(MID(A11, FIND(")", A11) + 1, LEN(A11))), " ", REPT(" ", 100)), 100, 100)))</f>
        <v>0</v>
      </c>
      <c r="H11" s="6">
        <f>VALUE(TRIM(MID(SUBSTITUTE(TRIM(MID(A11, FIND(")", A11)+1, LEN(A11))), " ", REPT(" ", 100)), 201, 100)))</f>
        <v>0</v>
      </c>
      <c r="I11" s="6">
        <f>VALUE(TRIM(MID(SUBSTITUTE(TRIM(MID(A11, FIND(")", A11)+1, LEN(A11))), " ", REPT(" ", 100)), 301, 100)))</f>
        <v>0</v>
      </c>
      <c r="J11" s="6">
        <f>VALUE(TRIM(MID(SUBSTITUTE(TRIM(MID(A11, FIND(")", A11)+1, LEN(A11))), " ", REPT(" ", 100)), 401, 100)))</f>
        <v>0</v>
      </c>
      <c r="L11" s="3"/>
    </row>
    <row r="12" spans="1:12">
      <c r="A12" s="1" t="s">
        <v>126</v>
      </c>
      <c r="B12" s="1"/>
      <c r="C12" s="6">
        <f>VALUE(MID(A12, FIND("(", A12) + 1, FIND("-", A12, FIND("(", A12)) - FIND("(", A12) - 1))</f>
        <v>1</v>
      </c>
      <c r="D12" s="6">
        <f>VALUE(MID(A12, FIND("-", A12, FIND("(", A12)) + 1, FIND("-", A12, FIND("-", A12, FIND("(", A12)) + 1) - FIND("-", A12, FIND("(", A12)) - 1))</f>
        <v>1</v>
      </c>
      <c r="E12" s="6">
        <f>VALUE(MID(A12, FIND("-", A12, FIND("-", A12, FIND("(", A12)) + 1) + 1, FIND(")", A12) - FIND("-", A12, FIND("-", A12, FIND("(", A12)) + 1) - 1))</f>
        <v>0</v>
      </c>
      <c r="F12" s="6">
        <f>VALUE(TRIM(MID(SUBSTITUTE(TRIM(MID(A12, FIND(")", A12)+1, LEN(A12))), " ", REPT(" ", 100)), 1, 100)))</f>
        <v>1</v>
      </c>
      <c r="G12" s="6">
        <f>VALUE(TRIM(MID(SUBSTITUTE(TRIM(MID(A12, FIND(")", A12) + 1, LEN(A12))), " ", REPT(" ", 100)), 100, 100)))</f>
        <v>0</v>
      </c>
      <c r="H12" s="6">
        <f>VALUE(TRIM(MID(SUBSTITUTE(TRIM(MID(A12, FIND(")", A12)+1, LEN(A12))), " ", REPT(" ", 100)), 201, 100)))</f>
        <v>1</v>
      </c>
      <c r="I12" s="6">
        <f>VALUE(TRIM(MID(SUBSTITUTE(TRIM(MID(A12, FIND(")", A12)+1, LEN(A12))), " ", REPT(" ", 100)), 301, 100)))</f>
        <v>0</v>
      </c>
      <c r="J12" s="6">
        <f>VALUE(TRIM(MID(SUBSTITUTE(TRIM(MID(A12, FIND(")", A12)+1, LEN(A12))), " ", REPT(" ", 100)), 401, 100)))</f>
        <v>1</v>
      </c>
      <c r="L12" s="3"/>
    </row>
    <row r="13" spans="1:12">
      <c r="A13" s="1" t="s">
        <v>127</v>
      </c>
      <c r="B13" s="1"/>
      <c r="C13" s="6">
        <f>VALUE(MID(A13, FIND("(", A13) + 1, FIND("-", A13, FIND("(", A13)) - FIND("(", A13) - 1))</f>
        <v>1</v>
      </c>
      <c r="D13" s="6">
        <f>VALUE(MID(A13, FIND("-", A13, FIND("(", A13)) + 1, FIND("-", A13, FIND("-", A13, FIND("(", A13)) + 1) - FIND("-", A13, FIND("(", A13)) - 1))</f>
        <v>1</v>
      </c>
      <c r="E13" s="6">
        <f>VALUE(MID(A13, FIND("-", A13, FIND("-", A13, FIND("(", A13)) + 1) + 1, FIND(")", A13) - FIND("-", A13, FIND("-", A13, FIND("(", A13)) + 1) - 1))</f>
        <v>1</v>
      </c>
      <c r="F13" s="6">
        <f>VALUE(TRIM(MID(SUBSTITUTE(TRIM(MID(A13, FIND(")", A13)+1, LEN(A13))), " ", REPT(" ", 100)), 1, 100)))</f>
        <v>0</v>
      </c>
      <c r="G13" s="6">
        <f>VALUE(TRIM(MID(SUBSTITUTE(TRIM(MID(A13, FIND(")", A13) + 1, LEN(A13))), " ", REPT(" ", 100)), 100, 100)))</f>
        <v>0</v>
      </c>
      <c r="H13" s="6">
        <f>VALUE(TRIM(MID(SUBSTITUTE(TRIM(MID(A13, FIND(")", A13)+1, LEN(A13))), " ", REPT(" ", 100)), 201, 100)))</f>
        <v>2</v>
      </c>
      <c r="I13" s="6">
        <f>VALUE(TRIM(MID(SUBSTITUTE(TRIM(MID(A13, FIND(")", A13)+1, LEN(A13))), " ", REPT(" ", 100)), 301, 100)))</f>
        <v>0</v>
      </c>
      <c r="J13" s="6">
        <f>VALUE(TRIM(MID(SUBSTITUTE(TRIM(MID(A13, FIND(")", A13)+1, LEN(A13))), " ", REPT(" ", 100)), 401, 100)))</f>
        <v>2</v>
      </c>
      <c r="L13" s="3"/>
    </row>
    <row r="14" spans="1:12">
      <c r="A14" s="1" t="s">
        <v>128</v>
      </c>
      <c r="B14" s="1"/>
      <c r="C14" s="6">
        <f>VALUE(MID(A14, FIND("(", A14) + 1, FIND("-", A14, FIND("(", A14)) - FIND("(", A14) - 1))</f>
        <v>1</v>
      </c>
      <c r="D14" s="6">
        <f>VALUE(MID(A14, FIND("-", A14, FIND("(", A14)) + 1, FIND("-", A14, FIND("-", A14, FIND("(", A14)) + 1) - FIND("-", A14, FIND("(", A14)) - 1))</f>
        <v>0</v>
      </c>
      <c r="E14" s="6">
        <f>VALUE(MID(A14, FIND("-", A14, FIND("-", A14, FIND("(", A14)) + 1) + 1, FIND(")", A14) - FIND("-", A14, FIND("-", A14, FIND("(", A14)) + 1) - 1))</f>
        <v>1</v>
      </c>
      <c r="F14" s="6">
        <f>VALUE(TRIM(MID(SUBSTITUTE(TRIM(MID(A14, FIND(")", A14)+1, LEN(A14))), " ", REPT(" ", 100)), 1, 100)))</f>
        <v>0</v>
      </c>
      <c r="G14" s="6">
        <f>VALUE(TRIM(MID(SUBSTITUTE(TRIM(MID(A14, FIND(")", A14) + 1, LEN(A14))), " ", REPT(" ", 100)), 100, 100)))</f>
        <v>0</v>
      </c>
      <c r="H14" s="6">
        <f>VALUE(TRIM(MID(SUBSTITUTE(TRIM(MID(A14, FIND(")", A14)+1, LEN(A14))), " ", REPT(" ", 100)), 201, 100)))</f>
        <v>0</v>
      </c>
      <c r="I14" s="6">
        <f>VALUE(TRIM(MID(SUBSTITUTE(TRIM(MID(A14, FIND(")", A14)+1, LEN(A14))), " ", REPT(" ", 100)), 301, 100)))</f>
        <v>0</v>
      </c>
      <c r="J14" s="6">
        <f>VALUE(TRIM(MID(SUBSTITUTE(TRIM(MID(A14, FIND(")", A14)+1, LEN(A14))), " ", REPT(" ", 100)), 401, 100)))</f>
        <v>0</v>
      </c>
      <c r="L14" s="3"/>
    </row>
    <row r="15" spans="1:12">
      <c r="A15" s="1" t="s">
        <v>129</v>
      </c>
      <c r="B15" s="1"/>
      <c r="C15" s="6">
        <f>VALUE(MID(A15, FIND("(", A15) + 1, FIND("-", A15, FIND("(", A15)) - FIND("(", A15) - 1))</f>
        <v>0</v>
      </c>
      <c r="D15" s="6">
        <f>VALUE(MID(A15, FIND("-", A15, FIND("(", A15)) + 1, FIND("-", A15, FIND("-", A15, FIND("(", A15)) + 1) - FIND("-", A15, FIND("(", A15)) - 1))</f>
        <v>0</v>
      </c>
      <c r="E15" s="6">
        <f>VALUE(MID(A15, FIND("-", A15, FIND("-", A15, FIND("(", A15)) + 1) + 1, FIND(")", A15) - FIND("-", A15, FIND("-", A15, FIND("(", A15)) + 1) - 1))</f>
        <v>0</v>
      </c>
      <c r="F15" s="6">
        <f>VALUE(TRIM(MID(SUBSTITUTE(TRIM(MID(A15, FIND(")", A15)+1, LEN(A15))), " ", REPT(" ", 100)), 1, 100)))</f>
        <v>1</v>
      </c>
      <c r="G15" s="6">
        <f>VALUE(TRIM(MID(SUBSTITUTE(TRIM(MID(A15, FIND(")", A15) + 1, LEN(A15))), " ", REPT(" ", 100)), 100, 100)))</f>
        <v>0</v>
      </c>
      <c r="H15" s="6">
        <f>VALUE(TRIM(MID(SUBSTITUTE(TRIM(MID(A15, FIND(")", A15)+1, LEN(A15))), " ", REPT(" ", 100)), 201, 100)))</f>
        <v>0</v>
      </c>
      <c r="I15" s="6">
        <f>VALUE(TRIM(MID(SUBSTITUTE(TRIM(MID(A15, FIND(")", A15)+1, LEN(A15))), " ", REPT(" ", 100)), 301, 100)))</f>
        <v>1</v>
      </c>
      <c r="J15" s="6">
        <f>VALUE(TRIM(MID(SUBSTITUTE(TRIM(MID(A15, FIND(")", A15)+1, LEN(A15))), " ", REPT(" ", 100)), 401, 100)))</f>
        <v>1</v>
      </c>
      <c r="L15" s="3"/>
    </row>
    <row r="16" spans="1:12">
      <c r="A16" s="1" t="s">
        <v>130</v>
      </c>
      <c r="B16" s="1"/>
      <c r="C16" s="6">
        <f>VALUE(MID(A16, FIND("(", A16) + 1, FIND("-", A16, FIND("(", A16)) - FIND("(", A16) - 1))</f>
        <v>0</v>
      </c>
      <c r="D16" s="6">
        <f>VALUE(MID(A16, FIND("-", A16, FIND("(", A16)) + 1, FIND("-", A16, FIND("-", A16, FIND("(", A16)) + 1) - FIND("-", A16, FIND("(", A16)) - 1))</f>
        <v>0</v>
      </c>
      <c r="E16" s="6">
        <f>VALUE(MID(A16, FIND("-", A16, FIND("-", A16, FIND("(", A16)) + 1) + 1, FIND(")", A16) - FIND("-", A16, FIND("-", A16, FIND("(", A16)) + 1) - 1))</f>
        <v>1</v>
      </c>
      <c r="F16" s="6">
        <f>VALUE(TRIM(MID(SUBSTITUTE(TRIM(MID(A16, FIND(")", A16)+1, LEN(A16))), " ", REPT(" ", 100)), 1, 100)))</f>
        <v>0</v>
      </c>
      <c r="G16" s="6">
        <f>VALUE(TRIM(MID(SUBSTITUTE(TRIM(MID(A16, FIND(")", A16) + 1, LEN(A16))), " ", REPT(" ", 100)), 100, 100)))</f>
        <v>1</v>
      </c>
      <c r="H16" s="6">
        <f>VALUE(TRIM(MID(SUBSTITUTE(TRIM(MID(A16, FIND(")", A16)+1, LEN(A16))), " ", REPT(" ", 100)), 201, 100)))</f>
        <v>0</v>
      </c>
      <c r="I16" s="6">
        <f>VALUE(TRIM(MID(SUBSTITUTE(TRIM(MID(A16, FIND(")", A16)+1, LEN(A16))), " ", REPT(" ", 100)), 301, 100)))</f>
        <v>2</v>
      </c>
      <c r="J16" s="6">
        <f>VALUE(TRIM(MID(SUBSTITUTE(TRIM(MID(A16, FIND(")", A16)+1, LEN(A16))), " ", REPT(" ", 100)), 401, 100)))</f>
        <v>2</v>
      </c>
      <c r="L16" s="3"/>
    </row>
    <row r="17" spans="1:12">
      <c r="A17" s="1" t="s">
        <v>131</v>
      </c>
      <c r="B17" s="1"/>
      <c r="C17" s="6">
        <f>VALUE(MID(A17, FIND("(", A17) + 1, FIND("-", A17, FIND("(", A17)) - FIND("(", A17) - 1))</f>
        <v>0</v>
      </c>
      <c r="D17" s="6">
        <f>VALUE(MID(A17, FIND("-", A17, FIND("(", A17)) + 1, FIND("-", A17, FIND("-", A17, FIND("(", A17)) + 1) - FIND("-", A17, FIND("(", A17)) - 1))</f>
        <v>0</v>
      </c>
      <c r="E17" s="6">
        <f>VALUE(MID(A17, FIND("-", A17, FIND("-", A17, FIND("(", A17)) + 1) + 1, FIND(")", A17) - FIND("-", A17, FIND("-", A17, FIND("(", A17)) + 1) - 1))</f>
        <v>0</v>
      </c>
      <c r="F17" s="6">
        <f>VALUE(TRIM(MID(SUBSTITUTE(TRIM(MID(A17, FIND(")", A17)+1, LEN(A17))), " ", REPT(" ", 100)), 1, 100)))</f>
        <v>0</v>
      </c>
      <c r="G17" s="6">
        <f>VALUE(TRIM(MID(SUBSTITUTE(TRIM(MID(A17, FIND(")", A17) + 1, LEN(A17))), " ", REPT(" ", 100)), 100, 100)))</f>
        <v>0</v>
      </c>
      <c r="H17" s="6">
        <f>VALUE(TRIM(MID(SUBSTITUTE(TRIM(MID(A17, FIND(")", A17)+1, LEN(A17))), " ", REPT(" ", 100)), 201, 100)))</f>
        <v>0</v>
      </c>
      <c r="I17" s="6">
        <f>VALUE(TRIM(MID(SUBSTITUTE(TRIM(MID(A17, FIND(")", A17)+1, LEN(A17))), " ", REPT(" ", 100)), 301, 100)))</f>
        <v>0</v>
      </c>
      <c r="J17" s="6">
        <f>VALUE(TRIM(MID(SUBSTITUTE(TRIM(MID(A17, FIND(")", A17)+1, LEN(A17))), " ", REPT(" ", 100)), 401, 100)))</f>
        <v>0</v>
      </c>
      <c r="L17" s="3"/>
    </row>
    <row r="18" spans="1:12">
      <c r="A18" s="1" t="s">
        <v>132</v>
      </c>
      <c r="B18" s="1"/>
      <c r="C18" s="6">
        <f>VALUE(MID(A18, FIND("(", A18) + 1, FIND("-", A18, FIND("(", A18)) - FIND("(", A18) - 1))</f>
        <v>0</v>
      </c>
      <c r="D18" s="6">
        <f>VALUE(MID(A18, FIND("-", A18, FIND("(", A18)) + 1, FIND("-", A18, FIND("-", A18, FIND("(", A18)) + 1) - FIND("-", A18, FIND("(", A18)) - 1))</f>
        <v>0</v>
      </c>
      <c r="E18" s="6">
        <f>VALUE(MID(A18, FIND("-", A18, FIND("-", A18, FIND("(", A18)) + 1) + 1, FIND(")", A18) - FIND("-", A18, FIND("-", A18, FIND("(", A18)) + 1) - 1))</f>
        <v>0</v>
      </c>
      <c r="F18" s="6">
        <f>VALUE(TRIM(MID(SUBSTITUTE(TRIM(MID(A18, FIND(")", A18)+1, LEN(A18))), " ", REPT(" ", 100)), 1, 100)))</f>
        <v>0</v>
      </c>
      <c r="G18" s="6">
        <f>VALUE(TRIM(MID(SUBSTITUTE(TRIM(MID(A18, FIND(")", A18) + 1, LEN(A18))), " ", REPT(" ", 100)), 100, 100)))</f>
        <v>0</v>
      </c>
      <c r="H18" s="6">
        <f>VALUE(TRIM(MID(SUBSTITUTE(TRIM(MID(A18, FIND(")", A18)+1, LEN(A18))), " ", REPT(" ", 100)), 201, 100)))</f>
        <v>0</v>
      </c>
      <c r="I18" s="6">
        <f>VALUE(TRIM(MID(SUBSTITUTE(TRIM(MID(A18, FIND(")", A18)+1, LEN(A18))), " ", REPT(" ", 100)), 301, 100)))</f>
        <v>0</v>
      </c>
      <c r="J18" s="6">
        <f>VALUE(TRIM(MID(SUBSTITUTE(TRIM(MID(A18, FIND(")", A18)+1, LEN(A18))), " ", REPT(" ", 100)), 401, 100)))</f>
        <v>0</v>
      </c>
      <c r="L18" s="3"/>
    </row>
    <row r="19" spans="1:12">
      <c r="A19" s="1" t="s">
        <v>133</v>
      </c>
      <c r="B19" s="1"/>
      <c r="C19" s="6">
        <f>VALUE(MID(A19, FIND("(", A19) + 1, FIND("-", A19, FIND("(", A19)) - FIND("(", A19) - 1))</f>
        <v>0</v>
      </c>
      <c r="D19" s="6">
        <f>VALUE(MID(A19, FIND("-", A19, FIND("(", A19)) + 1, FIND("-", A19, FIND("-", A19, FIND("(", A19)) + 1) - FIND("-", A19, FIND("(", A19)) - 1))</f>
        <v>1</v>
      </c>
      <c r="E19" s="6">
        <f>VALUE(MID(A19, FIND("-", A19, FIND("-", A19, FIND("(", A19)) + 1) + 1, FIND(")", A19) - FIND("-", A19, FIND("-", A19, FIND("(", A19)) + 1) - 1))</f>
        <v>0</v>
      </c>
      <c r="F19" s="6">
        <f>VALUE(TRIM(MID(SUBSTITUTE(TRIM(MID(A19, FIND(")", A19)+1, LEN(A19))), " ", REPT(" ", 100)), 1, 100)))</f>
        <v>1</v>
      </c>
      <c r="G19" s="6">
        <f>VALUE(TRIM(MID(SUBSTITUTE(TRIM(MID(A19, FIND(")", A19) + 1, LEN(A19))), " ", REPT(" ", 100)), 100, 100)))</f>
        <v>0</v>
      </c>
      <c r="H19" s="6">
        <f>VALUE(TRIM(MID(SUBSTITUTE(TRIM(MID(A19, FIND(")", A19)+1, LEN(A19))), " ", REPT(" ", 100)), 201, 100)))</f>
        <v>0</v>
      </c>
      <c r="I19" s="6">
        <f>VALUE(TRIM(MID(SUBSTITUTE(TRIM(MID(A19, FIND(")", A19)+1, LEN(A19))), " ", REPT(" ", 100)), 301, 100)))</f>
        <v>1</v>
      </c>
      <c r="J19" s="6">
        <f>VALUE(TRIM(MID(SUBSTITUTE(TRIM(MID(A19, FIND(")", A19)+1, LEN(A19))), " ", REPT(" ", 100)), 401, 100)))</f>
        <v>1</v>
      </c>
      <c r="L19" s="3"/>
    </row>
    <row r="20" spans="1:12">
      <c r="A20" s="1" t="s">
        <v>134</v>
      </c>
      <c r="B20" s="1"/>
      <c r="C20" s="6">
        <f>VALUE(MID(A20, FIND("(", A20) + 1, FIND("-", A20, FIND("(", A20)) - FIND("(", A20) - 1))</f>
        <v>0</v>
      </c>
      <c r="D20" s="6">
        <f>VALUE(MID(A20, FIND("-", A20, FIND("(", A20)) + 1, FIND("-", A20, FIND("-", A20, FIND("(", A20)) + 1) - FIND("-", A20, FIND("(", A20)) - 1))</f>
        <v>0</v>
      </c>
      <c r="E20" s="6">
        <f>VALUE(MID(A20, FIND("-", A20, FIND("-", A20, FIND("(", A20)) + 1) + 1, FIND(")", A20) - FIND("-", A20, FIND("-", A20, FIND("(", A20)) + 1) - 1))</f>
        <v>0</v>
      </c>
      <c r="F20" s="6">
        <f>VALUE(TRIM(MID(SUBSTITUTE(TRIM(MID(A20, FIND(")", A20)+1, LEN(A20))), " ", REPT(" ", 100)), 1, 100)))</f>
        <v>1</v>
      </c>
      <c r="G20" s="6">
        <f>VALUE(TRIM(MID(SUBSTITUTE(TRIM(MID(A20, FIND(")", A20) + 1, LEN(A20))), " ", REPT(" ", 100)), 100, 100)))</f>
        <v>0</v>
      </c>
      <c r="H20" s="6">
        <f>VALUE(TRIM(MID(SUBSTITUTE(TRIM(MID(A20, FIND(")", A20)+1, LEN(A20))), " ", REPT(" ", 100)), 201, 100)))</f>
        <v>0</v>
      </c>
      <c r="I20" s="6">
        <f>VALUE(TRIM(MID(SUBSTITUTE(TRIM(MID(A20, FIND(")", A20)+1, LEN(A20))), " ", REPT(" ", 100)), 301, 100)))</f>
        <v>1</v>
      </c>
      <c r="J20" s="6">
        <f>VALUE(TRIM(MID(SUBSTITUTE(TRIM(MID(A20, FIND(")", A20)+1, LEN(A20))), " ", REPT(" ", 100)), 401, 100)))</f>
        <v>1</v>
      </c>
      <c r="L20" s="3"/>
    </row>
    <row r="21" spans="1:12">
      <c r="A21" s="1"/>
      <c r="B21" s="1"/>
      <c r="C21" s="2">
        <f>SUM(C4:C20)</f>
        <v>11</v>
      </c>
      <c r="D21" s="2">
        <f>SUM(D4:D20)</f>
        <v>15</v>
      </c>
      <c r="E21" s="2">
        <f>SUM(E4:E20)</f>
        <v>5</v>
      </c>
      <c r="F21" s="2">
        <f>SUM(F4:F20)</f>
        <v>6</v>
      </c>
      <c r="G21" s="2">
        <f>SUM(G4:G20)</f>
        <v>4</v>
      </c>
      <c r="H21" s="2">
        <f>SUM(H4:H20)</f>
        <v>5</v>
      </c>
      <c r="I21" s="2">
        <f>SUM(I4:I20)</f>
        <v>13</v>
      </c>
      <c r="J21" s="2">
        <f>SUM(J4:J20)</f>
        <v>18</v>
      </c>
      <c r="L21" s="3"/>
    </row>
    <row r="22" spans="1:12">
      <c r="A22" s="1" t="s">
        <v>135</v>
      </c>
      <c r="B22" s="1"/>
    </row>
    <row r="23" spans="1:12">
      <c r="A23" s="1" t="s">
        <v>0</v>
      </c>
      <c r="B23" s="1"/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  <c r="I23" s="5" t="s">
        <v>7</v>
      </c>
      <c r="J23" s="5" t="s">
        <v>8</v>
      </c>
    </row>
    <row r="24" spans="1:12">
      <c r="A24" s="1" t="s">
        <v>136</v>
      </c>
      <c r="B24" s="1"/>
      <c r="C24" s="6">
        <f>VALUE(MID(A24, FIND("(", A24) + 1, FIND("-", A24, FIND("(", A24)) - FIND("(", A24) - 1))</f>
        <v>3</v>
      </c>
      <c r="D24" s="6">
        <f>VALUE(MID(A24, FIND("-", A24, FIND("(", A24)) + 1, FIND("-", A24, FIND("-", A24, FIND("(", A24)) + 1) - FIND("-", A24, FIND("(", A24)) - 1))</f>
        <v>0</v>
      </c>
      <c r="E24" s="6">
        <f>VALUE(MID(A24, FIND("-", A24, FIND("-", A24, FIND("(", A24)) + 1) + 1, FIND(")", A24) - FIND("-", A24, FIND("-", A24, FIND("(", A24)) + 1) - 1))</f>
        <v>0</v>
      </c>
      <c r="F24" s="6">
        <f>VALUE(TRIM(MID(SUBSTITUTE(TRIM(MID(A24, FIND(")", A24)+1, LEN(A24))), " ", REPT(" ", 100)), 1, 100)))</f>
        <v>2</v>
      </c>
      <c r="G24" s="6">
        <f>VALUE(TRIM(MID(SUBSTITUTE(TRIM(MID(A24, FIND(")", A24) + 1, LEN(A24))), " ", REPT(" ", 100)), 100, 100)))</f>
        <v>0</v>
      </c>
      <c r="H24" s="6">
        <f>VALUE(TRIM(MID(SUBSTITUTE(TRIM(MID(A24, FIND(")", A24)+1, LEN(A24))), " ", REPT(" ", 100)), 201, 100)))</f>
        <v>3</v>
      </c>
      <c r="I24" s="6">
        <f>VALUE(TRIM(MID(SUBSTITUTE(TRIM(MID(A24, FIND(")", A24)+1, LEN(A24))), " ", REPT(" ", 100)), 301, 100)))</f>
        <v>0</v>
      </c>
      <c r="J24" s="6">
        <f>VALUE(TRIM(MID(SUBSTITUTE(TRIM(MID(A24, FIND(")", A24)+1, LEN(A24))), " ", REPT(" ", 100)), 401, 100)))</f>
        <v>3</v>
      </c>
    </row>
    <row r="25" spans="1:12">
      <c r="A25" s="1" t="s">
        <v>137</v>
      </c>
      <c r="B25" s="1"/>
      <c r="C25" s="6">
        <f t="shared" ref="C25:C40" si="0">VALUE(MID(A25, FIND("(", A25) + 1, FIND("-", A25, FIND("(", A25)) - FIND("(", A25) - 1))</f>
        <v>2</v>
      </c>
      <c r="D25" s="6">
        <f t="shared" ref="D25:D40" si="1">VALUE(MID(A25, FIND("-", A25, FIND("(", A25)) + 1, FIND("-", A25, FIND("-", A25, FIND("(", A25)) + 1) - FIND("-", A25, FIND("(", A25)) - 1))</f>
        <v>1</v>
      </c>
      <c r="E25" s="6">
        <f t="shared" ref="E25:E40" si="2">VALUE(MID(A25, FIND("-", A25, FIND("-", A25, FIND("(", A25)) + 1) + 1, FIND(")", A25) - FIND("-", A25, FIND("-", A25, FIND("(", A25)) + 1) - 1))</f>
        <v>0</v>
      </c>
      <c r="F25" s="6">
        <f t="shared" ref="F25:F40" si="3">VALUE(TRIM(MID(SUBSTITUTE(TRIM(MID(A25, FIND(")", A25)+1, LEN(A25))), " ", REPT(" ", 100)), 1, 100)))</f>
        <v>0</v>
      </c>
      <c r="G25" s="6">
        <f t="shared" ref="G25:G40" si="4">VALUE(TRIM(MID(SUBSTITUTE(TRIM(MID(A25, FIND(")", A25) + 1, LEN(A25))), " ", REPT(" ", 100)), 100, 100)))</f>
        <v>1</v>
      </c>
      <c r="H25" s="6">
        <f t="shared" ref="H25:H40" si="5">VALUE(TRIM(MID(SUBSTITUTE(TRIM(MID(A25, FIND(")", A25)+1, LEN(A25))), " ", REPT(" ", 100)), 201, 100)))</f>
        <v>1</v>
      </c>
      <c r="I25" s="6">
        <f t="shared" ref="I25:I40" si="6">VALUE(TRIM(MID(SUBSTITUTE(TRIM(MID(A25, FIND(")", A25)+1, LEN(A25))), " ", REPT(" ", 100)), 301, 100)))</f>
        <v>0</v>
      </c>
      <c r="J25" s="6">
        <f t="shared" ref="J25:J40" si="7">VALUE(TRIM(MID(SUBSTITUTE(TRIM(MID(A25, FIND(")", A25)+1, LEN(A25))), " ", REPT(" ", 100)), 401, 100)))</f>
        <v>1</v>
      </c>
    </row>
    <row r="26" spans="1:12">
      <c r="A26" s="1" t="s">
        <v>138</v>
      </c>
      <c r="B26" s="1"/>
      <c r="C26" s="6">
        <f t="shared" si="0"/>
        <v>1</v>
      </c>
      <c r="D26" s="6">
        <f t="shared" si="1"/>
        <v>1</v>
      </c>
      <c r="E26" s="6">
        <f t="shared" si="2"/>
        <v>2</v>
      </c>
      <c r="F26" s="6">
        <f t="shared" si="3"/>
        <v>1</v>
      </c>
      <c r="G26" s="6">
        <f t="shared" si="4"/>
        <v>1</v>
      </c>
      <c r="H26" s="6">
        <f t="shared" si="5"/>
        <v>1</v>
      </c>
      <c r="I26" s="6">
        <f t="shared" si="6"/>
        <v>1</v>
      </c>
      <c r="J26" s="6">
        <f t="shared" si="7"/>
        <v>2</v>
      </c>
    </row>
    <row r="27" spans="1:12">
      <c r="A27" s="1" t="s">
        <v>139</v>
      </c>
      <c r="B27" s="1"/>
      <c r="C27" s="6">
        <f t="shared" si="0"/>
        <v>1</v>
      </c>
      <c r="D27" s="6">
        <f t="shared" si="1"/>
        <v>0</v>
      </c>
      <c r="E27" s="6">
        <f t="shared" si="2"/>
        <v>0</v>
      </c>
      <c r="F27" s="6">
        <f t="shared" si="3"/>
        <v>1</v>
      </c>
      <c r="G27" s="6">
        <f t="shared" si="4"/>
        <v>0</v>
      </c>
      <c r="H27" s="6">
        <f t="shared" si="5"/>
        <v>1</v>
      </c>
      <c r="I27" s="6">
        <f t="shared" si="6"/>
        <v>1</v>
      </c>
      <c r="J27" s="6">
        <f t="shared" si="7"/>
        <v>2</v>
      </c>
    </row>
    <row r="28" spans="1:12">
      <c r="A28" s="1" t="s">
        <v>140</v>
      </c>
      <c r="B28" s="1"/>
      <c r="C28" s="6">
        <f t="shared" si="0"/>
        <v>0</v>
      </c>
      <c r="D28" s="6">
        <f t="shared" si="1"/>
        <v>0</v>
      </c>
      <c r="E28" s="6">
        <f t="shared" si="2"/>
        <v>0</v>
      </c>
      <c r="F28" s="6">
        <f t="shared" si="3"/>
        <v>0</v>
      </c>
      <c r="G28" s="6">
        <f t="shared" si="4"/>
        <v>0</v>
      </c>
      <c r="H28" s="6">
        <f t="shared" si="5"/>
        <v>1</v>
      </c>
      <c r="I28" s="6">
        <f t="shared" si="6"/>
        <v>1</v>
      </c>
      <c r="J28" s="6">
        <f t="shared" si="7"/>
        <v>2</v>
      </c>
    </row>
    <row r="29" spans="1:12">
      <c r="A29" s="1" t="s">
        <v>141</v>
      </c>
      <c r="B29" s="1"/>
      <c r="C29" s="6">
        <f t="shared" si="0"/>
        <v>0</v>
      </c>
      <c r="D29" s="6">
        <f t="shared" si="1"/>
        <v>0</v>
      </c>
      <c r="E29" s="6">
        <f t="shared" si="2"/>
        <v>0</v>
      </c>
      <c r="F29" s="6">
        <f t="shared" si="3"/>
        <v>0</v>
      </c>
      <c r="G29" s="6">
        <f t="shared" si="4"/>
        <v>0</v>
      </c>
      <c r="H29" s="6">
        <f t="shared" si="5"/>
        <v>0</v>
      </c>
      <c r="I29" s="6">
        <f t="shared" si="6"/>
        <v>1</v>
      </c>
      <c r="J29" s="6">
        <f t="shared" si="7"/>
        <v>1</v>
      </c>
    </row>
    <row r="30" spans="1:12">
      <c r="A30" s="1" t="s">
        <v>142</v>
      </c>
      <c r="B30" s="1"/>
      <c r="C30" s="6">
        <f t="shared" si="0"/>
        <v>0</v>
      </c>
      <c r="D30" s="6">
        <f t="shared" si="1"/>
        <v>2</v>
      </c>
      <c r="E30" s="6">
        <f t="shared" si="2"/>
        <v>1</v>
      </c>
      <c r="F30" s="6">
        <f t="shared" si="3"/>
        <v>0</v>
      </c>
      <c r="G30" s="6">
        <f t="shared" si="4"/>
        <v>1</v>
      </c>
      <c r="H30" s="6">
        <f t="shared" si="5"/>
        <v>0</v>
      </c>
      <c r="I30" s="6">
        <f t="shared" si="6"/>
        <v>0</v>
      </c>
      <c r="J30" s="6">
        <f t="shared" si="7"/>
        <v>0</v>
      </c>
    </row>
    <row r="31" spans="1:12">
      <c r="A31" s="1" t="s">
        <v>143</v>
      </c>
      <c r="B31" s="1"/>
      <c r="C31" s="6">
        <f t="shared" si="0"/>
        <v>1</v>
      </c>
      <c r="D31" s="6">
        <f t="shared" si="1"/>
        <v>1</v>
      </c>
      <c r="E31" s="6">
        <f t="shared" si="2"/>
        <v>2</v>
      </c>
      <c r="F31" s="6">
        <f t="shared" si="3"/>
        <v>2</v>
      </c>
      <c r="G31" s="6">
        <f t="shared" si="4"/>
        <v>0</v>
      </c>
      <c r="H31" s="6">
        <f t="shared" si="5"/>
        <v>0</v>
      </c>
      <c r="I31" s="6">
        <f t="shared" si="6"/>
        <v>0</v>
      </c>
      <c r="J31" s="6">
        <f t="shared" si="7"/>
        <v>0</v>
      </c>
    </row>
    <row r="32" spans="1:12">
      <c r="A32" s="1" t="s">
        <v>144</v>
      </c>
      <c r="B32" s="1"/>
      <c r="C32" s="6">
        <f t="shared" si="0"/>
        <v>2</v>
      </c>
      <c r="D32" s="6">
        <f t="shared" si="1"/>
        <v>3</v>
      </c>
      <c r="E32" s="6">
        <f t="shared" si="2"/>
        <v>0</v>
      </c>
      <c r="F32" s="6">
        <f t="shared" si="3"/>
        <v>1</v>
      </c>
      <c r="G32" s="6">
        <f t="shared" si="4"/>
        <v>0</v>
      </c>
      <c r="H32" s="6">
        <f t="shared" si="5"/>
        <v>0</v>
      </c>
      <c r="I32" s="6">
        <f t="shared" si="6"/>
        <v>0</v>
      </c>
      <c r="J32" s="6">
        <f t="shared" si="7"/>
        <v>0</v>
      </c>
    </row>
    <row r="33" spans="1:10">
      <c r="A33" s="1" t="s">
        <v>145</v>
      </c>
      <c r="B33" s="1"/>
      <c r="C33" s="6">
        <f t="shared" si="0"/>
        <v>0</v>
      </c>
      <c r="D33" s="6">
        <f t="shared" si="1"/>
        <v>0</v>
      </c>
      <c r="E33" s="6">
        <f t="shared" si="2"/>
        <v>0</v>
      </c>
      <c r="F33" s="6">
        <f t="shared" si="3"/>
        <v>0</v>
      </c>
      <c r="G33" s="6">
        <f t="shared" si="4"/>
        <v>0</v>
      </c>
      <c r="H33" s="6">
        <f t="shared" si="5"/>
        <v>0</v>
      </c>
      <c r="I33" s="6">
        <f t="shared" si="6"/>
        <v>0</v>
      </c>
      <c r="J33" s="6">
        <f t="shared" si="7"/>
        <v>0</v>
      </c>
    </row>
    <row r="34" spans="1:10">
      <c r="A34" s="1" t="s">
        <v>146</v>
      </c>
      <c r="B34" s="1"/>
      <c r="C34" s="6">
        <f t="shared" si="0"/>
        <v>0</v>
      </c>
      <c r="D34" s="6">
        <f t="shared" si="1"/>
        <v>0</v>
      </c>
      <c r="E34" s="6">
        <f t="shared" si="2"/>
        <v>0</v>
      </c>
      <c r="F34" s="6">
        <f t="shared" si="3"/>
        <v>0</v>
      </c>
      <c r="G34" s="6">
        <f t="shared" si="4"/>
        <v>0</v>
      </c>
      <c r="H34" s="6">
        <f t="shared" si="5"/>
        <v>0</v>
      </c>
      <c r="I34" s="6">
        <f t="shared" si="6"/>
        <v>0</v>
      </c>
      <c r="J34" s="6">
        <f t="shared" si="7"/>
        <v>0</v>
      </c>
    </row>
    <row r="35" spans="1:10">
      <c r="A35" s="1" t="s">
        <v>147</v>
      </c>
      <c r="B35" s="1"/>
      <c r="C35" s="6">
        <f t="shared" si="0"/>
        <v>1</v>
      </c>
      <c r="D35" s="6">
        <f t="shared" si="1"/>
        <v>0</v>
      </c>
      <c r="E35" s="6">
        <f t="shared" si="2"/>
        <v>1</v>
      </c>
      <c r="F35" s="6">
        <f t="shared" si="3"/>
        <v>1</v>
      </c>
      <c r="G35" s="6">
        <f t="shared" si="4"/>
        <v>0</v>
      </c>
      <c r="H35" s="6">
        <f t="shared" si="5"/>
        <v>1</v>
      </c>
      <c r="I35" s="6">
        <f t="shared" si="6"/>
        <v>0</v>
      </c>
      <c r="J35" s="6">
        <f t="shared" si="7"/>
        <v>1</v>
      </c>
    </row>
    <row r="36" spans="1:10">
      <c r="A36" s="1" t="s">
        <v>148</v>
      </c>
      <c r="B36" s="1"/>
      <c r="C36" s="6">
        <f t="shared" si="0"/>
        <v>0</v>
      </c>
      <c r="D36" s="6">
        <f t="shared" si="1"/>
        <v>2</v>
      </c>
      <c r="E36" s="6">
        <f t="shared" si="2"/>
        <v>0</v>
      </c>
      <c r="F36" s="6">
        <f t="shared" si="3"/>
        <v>0</v>
      </c>
      <c r="G36" s="6">
        <f t="shared" si="4"/>
        <v>2</v>
      </c>
      <c r="H36" s="6">
        <f t="shared" si="5"/>
        <v>0</v>
      </c>
      <c r="I36" s="6">
        <f t="shared" si="6"/>
        <v>0</v>
      </c>
      <c r="J36" s="6">
        <f t="shared" si="7"/>
        <v>0</v>
      </c>
    </row>
    <row r="37" spans="1:10">
      <c r="A37" s="1" t="s">
        <v>149</v>
      </c>
      <c r="B37" s="1"/>
      <c r="C37" s="6">
        <f t="shared" si="0"/>
        <v>1</v>
      </c>
      <c r="D37" s="6">
        <f t="shared" si="1"/>
        <v>0</v>
      </c>
      <c r="E37" s="6">
        <f t="shared" si="2"/>
        <v>1</v>
      </c>
      <c r="F37" s="6">
        <f t="shared" si="3"/>
        <v>0</v>
      </c>
      <c r="G37" s="6">
        <f t="shared" si="4"/>
        <v>1</v>
      </c>
      <c r="H37" s="6">
        <f t="shared" si="5"/>
        <v>0</v>
      </c>
      <c r="I37" s="6">
        <f t="shared" si="6"/>
        <v>1</v>
      </c>
      <c r="J37" s="6">
        <f t="shared" si="7"/>
        <v>1</v>
      </c>
    </row>
    <row r="38" spans="1:10">
      <c r="A38" s="1" t="s">
        <v>150</v>
      </c>
      <c r="B38" s="1"/>
      <c r="C38" s="6">
        <f t="shared" si="0"/>
        <v>0</v>
      </c>
      <c r="D38" s="6">
        <f t="shared" si="1"/>
        <v>0</v>
      </c>
      <c r="E38" s="6">
        <f t="shared" si="2"/>
        <v>0</v>
      </c>
      <c r="F38" s="6">
        <f t="shared" si="3"/>
        <v>0</v>
      </c>
      <c r="G38" s="6">
        <f t="shared" si="4"/>
        <v>1</v>
      </c>
      <c r="H38" s="6">
        <f t="shared" si="5"/>
        <v>0</v>
      </c>
      <c r="I38" s="6">
        <f t="shared" si="6"/>
        <v>2</v>
      </c>
      <c r="J38" s="6">
        <f t="shared" si="7"/>
        <v>2</v>
      </c>
    </row>
    <row r="39" spans="1:10">
      <c r="A39" s="1" t="s">
        <v>151</v>
      </c>
      <c r="B39" s="1"/>
      <c r="C39" s="6">
        <f t="shared" si="0"/>
        <v>0</v>
      </c>
      <c r="D39" s="6">
        <f t="shared" si="1"/>
        <v>0</v>
      </c>
      <c r="E39" s="6">
        <f t="shared" si="2"/>
        <v>0</v>
      </c>
      <c r="F39" s="6">
        <f t="shared" si="3"/>
        <v>0</v>
      </c>
      <c r="G39" s="6">
        <f t="shared" si="4"/>
        <v>1</v>
      </c>
      <c r="H39" s="6">
        <f t="shared" si="5"/>
        <v>2</v>
      </c>
      <c r="I39" s="6">
        <f t="shared" si="6"/>
        <v>2</v>
      </c>
      <c r="J39" s="6">
        <f t="shared" si="7"/>
        <v>4</v>
      </c>
    </row>
    <row r="40" spans="1:10">
      <c r="A40" s="1" t="s">
        <v>152</v>
      </c>
      <c r="B40" s="1"/>
      <c r="C40" s="6">
        <f t="shared" si="0"/>
        <v>0</v>
      </c>
      <c r="D40" s="6">
        <f t="shared" si="1"/>
        <v>0</v>
      </c>
      <c r="E40" s="6">
        <f t="shared" si="2"/>
        <v>0</v>
      </c>
      <c r="F40" s="6">
        <f t="shared" si="3"/>
        <v>0</v>
      </c>
      <c r="G40" s="6">
        <f t="shared" si="4"/>
        <v>0</v>
      </c>
      <c r="H40" s="6">
        <f t="shared" si="5"/>
        <v>0</v>
      </c>
      <c r="I40" s="6">
        <f t="shared" si="6"/>
        <v>1</v>
      </c>
      <c r="J40" s="6">
        <f t="shared" si="7"/>
        <v>1</v>
      </c>
    </row>
    <row r="41" spans="1:10">
      <c r="C41" s="2">
        <f>SUM(C24:C40)</f>
        <v>12</v>
      </c>
      <c r="D41" s="2">
        <f>SUM(D24:D40)</f>
        <v>10</v>
      </c>
      <c r="E41" s="2">
        <f>SUM(E24:E40)</f>
        <v>7</v>
      </c>
      <c r="F41" s="2">
        <f t="shared" ref="F41:J41" si="8">SUM(F24:F40)</f>
        <v>8</v>
      </c>
      <c r="G41" s="2">
        <f t="shared" si="8"/>
        <v>8</v>
      </c>
      <c r="H41" s="2">
        <f t="shared" si="8"/>
        <v>10</v>
      </c>
      <c r="I41" s="2">
        <f t="shared" si="8"/>
        <v>10</v>
      </c>
      <c r="J41" s="2">
        <f t="shared" si="8"/>
        <v>20</v>
      </c>
    </row>
    <row r="44" spans="1:10">
      <c r="A44" t="s">
        <v>9</v>
      </c>
    </row>
    <row r="45" spans="1:10">
      <c r="A45" t="s">
        <v>10</v>
      </c>
    </row>
    <row r="46" spans="1:10">
      <c r="A46" t="s">
        <v>11</v>
      </c>
    </row>
    <row r="47" spans="1:10">
      <c r="A47" t="s">
        <v>12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446F-24BF-4C2C-B2C6-A5140D736A43}">
  <dimension ref="A1:L45"/>
  <sheetViews>
    <sheetView workbookViewId="0"/>
  </sheetViews>
  <sheetFormatPr defaultRowHeight="15"/>
  <cols>
    <col min="1" max="1" width="92.85546875" bestFit="1" customWidth="1"/>
    <col min="3" max="10" width="12.28515625" style="5" customWidth="1"/>
    <col min="12" max="12" width="10.28515625" bestFit="1" customWidth="1"/>
  </cols>
  <sheetData>
    <row r="1" spans="1:12" ht="15.75">
      <c r="A1" s="4" t="s">
        <v>51</v>
      </c>
      <c r="B1" s="1"/>
    </row>
    <row r="2" spans="1:12">
      <c r="A2" s="1" t="s">
        <v>31</v>
      </c>
      <c r="B2" s="1"/>
    </row>
    <row r="3" spans="1:12">
      <c r="A3" s="1" t="s">
        <v>0</v>
      </c>
      <c r="B3" s="1"/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</row>
    <row r="4" spans="1:12">
      <c r="A4" s="1" t="s">
        <v>84</v>
      </c>
      <c r="B4" s="1"/>
      <c r="C4" s="6">
        <f>VALUE(MID(A4, FIND("(", A4) + 1, FIND("-", A4, FIND("(", A4)) - FIND("(", A4) - 1))</f>
        <v>1</v>
      </c>
      <c r="D4" s="6">
        <f>VALUE(MID(A4, FIND("-", A4, FIND("(", A4)) + 1, FIND("-", A4, FIND("-", A4, FIND("(", A4)) + 1) - FIND("-", A4, FIND("(", A4)) - 1))</f>
        <v>3</v>
      </c>
      <c r="E4" s="6">
        <f>VALUE(MID(A4, FIND("-", A4, FIND("-", A4, FIND("(", A4)) + 1) + 1, FIND(")", A4) - FIND("-", A4, FIND("-", A4, FIND("(", A4)) + 1) - 1))</f>
        <v>0</v>
      </c>
      <c r="F4" s="6">
        <f>VALUE(TRIM(MID(SUBSTITUTE(TRIM(MID(A4, FIND(")", A4)+1, LEN(A4))), " ", REPT(" ", 100)), 1, 100)))</f>
        <v>1</v>
      </c>
      <c r="G4" s="6">
        <f>VALUE(TRIM(MID(SUBSTITUTE(TRIM(MID(A4, FIND(")", A4) + 1, LEN(A4))), " ", REPT(" ", 100)), 100, 100)))</f>
        <v>0</v>
      </c>
      <c r="H4" s="6">
        <f>VALUE(TRIM(MID(SUBSTITUTE(TRIM(MID(A4, FIND(")", A4)+1, LEN(A4))), " ", REPT(" ", 100)), 201, 100)))</f>
        <v>0</v>
      </c>
      <c r="I4" s="6">
        <f>VALUE(TRIM(MID(SUBSTITUTE(TRIM(MID(A4, FIND(")", A4)+1, LEN(A4))), " ", REPT(" ", 100)), 301, 100)))</f>
        <v>0</v>
      </c>
      <c r="J4" s="6">
        <f>VALUE(TRIM(MID(SUBSTITUTE(TRIM(MID(A4, FIND(")", A4)+1, LEN(A4))), " ", REPT(" ", 100)), 401, 100)))</f>
        <v>0</v>
      </c>
      <c r="L4" s="3"/>
    </row>
    <row r="5" spans="1:12">
      <c r="A5" s="1" t="s">
        <v>85</v>
      </c>
      <c r="B5" s="1"/>
      <c r="C5" s="6">
        <f>VALUE(MID(A5, FIND("(", A5) + 1, FIND("-", A5, FIND("(", A5)) - FIND("(", A5) - 1))</f>
        <v>2</v>
      </c>
      <c r="D5" s="6">
        <f>VALUE(MID(A5, FIND("-", A5, FIND("(", A5)) + 1, FIND("-", A5, FIND("-", A5, FIND("(", A5)) + 1) - FIND("-", A5, FIND("(", A5)) - 1))</f>
        <v>1</v>
      </c>
      <c r="E5" s="6">
        <f>VALUE(MID(A5, FIND("-", A5, FIND("-", A5, FIND("(", A5)) + 1) + 1, FIND(")", A5) - FIND("-", A5, FIND("-", A5, FIND("(", A5)) + 1) - 1))</f>
        <v>0</v>
      </c>
      <c r="F5" s="6">
        <f>VALUE(TRIM(MID(SUBSTITUTE(TRIM(MID(A5, FIND(")", A5)+1, LEN(A5))), " ", REPT(" ", 100)), 1, 100)))</f>
        <v>1</v>
      </c>
      <c r="G5" s="6">
        <f>VALUE(TRIM(MID(SUBSTITUTE(TRIM(MID(A5, FIND(")", A5) + 1, LEN(A5))), " ", REPT(" ", 100)), 100, 100)))</f>
        <v>1</v>
      </c>
      <c r="H5" s="6">
        <f>VALUE(TRIM(MID(SUBSTITUTE(TRIM(MID(A5, FIND(")", A5)+1, LEN(A5))), " ", REPT(" ", 100)), 201, 100)))</f>
        <v>0</v>
      </c>
      <c r="I5" s="6">
        <f>VALUE(TRIM(MID(SUBSTITUTE(TRIM(MID(A5, FIND(")", A5)+1, LEN(A5))), " ", REPT(" ", 100)), 301, 100)))</f>
        <v>0</v>
      </c>
      <c r="J5" s="6">
        <f>VALUE(TRIM(MID(SUBSTITUTE(TRIM(MID(A5, FIND(")", A5)+1, LEN(A5))), " ", REPT(" ", 100)), 401, 100)))</f>
        <v>0</v>
      </c>
      <c r="L5" s="3"/>
    </row>
    <row r="6" spans="1:12">
      <c r="A6" s="1" t="s">
        <v>86</v>
      </c>
      <c r="B6" s="1"/>
      <c r="C6" s="6">
        <f>VALUE(MID(A6, FIND("(", A6) + 1, FIND("-", A6, FIND("(", A6)) - FIND("(", A6) - 1))</f>
        <v>1</v>
      </c>
      <c r="D6" s="6">
        <f>VALUE(MID(A6, FIND("-", A6, FIND("(", A6)) + 1, FIND("-", A6, FIND("-", A6, FIND("(", A6)) + 1) - FIND("-", A6, FIND("(", A6)) - 1))</f>
        <v>2</v>
      </c>
      <c r="E6" s="6">
        <f>VALUE(MID(A6, FIND("-", A6, FIND("-", A6, FIND("(", A6)) + 1) + 1, FIND(")", A6) - FIND("-", A6, FIND("-", A6, FIND("(", A6)) + 1) - 1))</f>
        <v>0</v>
      </c>
      <c r="F6" s="6">
        <f>VALUE(TRIM(MID(SUBSTITUTE(TRIM(MID(A6, FIND(")", A6)+1, LEN(A6))), " ", REPT(" ", 100)), 1, 100)))</f>
        <v>0</v>
      </c>
      <c r="G6" s="6">
        <f>VALUE(TRIM(MID(SUBSTITUTE(TRIM(MID(A6, FIND(")", A6) + 1, LEN(A6))), " ", REPT(" ", 100)), 100, 100)))</f>
        <v>0</v>
      </c>
      <c r="H6" s="6">
        <f>VALUE(TRIM(MID(SUBSTITUTE(TRIM(MID(A6, FIND(")", A6)+1, LEN(A6))), " ", REPT(" ", 100)), 201, 100)))</f>
        <v>0</v>
      </c>
      <c r="I6" s="6">
        <f>VALUE(TRIM(MID(SUBSTITUTE(TRIM(MID(A6, FIND(")", A6)+1, LEN(A6))), " ", REPT(" ", 100)), 301, 100)))</f>
        <v>0</v>
      </c>
      <c r="J6" s="6">
        <f>VALUE(TRIM(MID(SUBSTITUTE(TRIM(MID(A6, FIND(")", A6)+1, LEN(A6))), " ", REPT(" ", 100)), 401, 100)))</f>
        <v>0</v>
      </c>
      <c r="L6" s="3"/>
    </row>
    <row r="7" spans="1:12">
      <c r="A7" s="1" t="s">
        <v>87</v>
      </c>
      <c r="B7" s="1"/>
      <c r="C7" s="6">
        <f>VALUE(MID(A7, FIND("(", A7) + 1, FIND("-", A7, FIND("(", A7)) - FIND("(", A7) - 1))</f>
        <v>1</v>
      </c>
      <c r="D7" s="6">
        <f>VALUE(MID(A7, FIND("-", A7, FIND("(", A7)) + 1, FIND("-", A7, FIND("-", A7, FIND("(", A7)) + 1) - FIND("-", A7, FIND("(", A7)) - 1))</f>
        <v>2</v>
      </c>
      <c r="E7" s="6">
        <f>VALUE(MID(A7, FIND("-", A7, FIND("-", A7, FIND("(", A7)) + 1) + 1, FIND(")", A7) - FIND("-", A7, FIND("-", A7, FIND("(", A7)) + 1) - 1))</f>
        <v>2</v>
      </c>
      <c r="F7" s="6">
        <f>VALUE(TRIM(MID(SUBSTITUTE(TRIM(MID(A7, FIND(")", A7)+1, LEN(A7))), " ", REPT(" ", 100)), 1, 100)))</f>
        <v>0</v>
      </c>
      <c r="G7" s="6">
        <f>VALUE(TRIM(MID(SUBSTITUTE(TRIM(MID(A7, FIND(")", A7) + 1, LEN(A7))), " ", REPT(" ", 100)), 100, 100)))</f>
        <v>0</v>
      </c>
      <c r="H7" s="6">
        <f>VALUE(TRIM(MID(SUBSTITUTE(TRIM(MID(A7, FIND(")", A7)+1, LEN(A7))), " ", REPT(" ", 100)), 201, 100)))</f>
        <v>0</v>
      </c>
      <c r="I7" s="6">
        <f>VALUE(TRIM(MID(SUBSTITUTE(TRIM(MID(A7, FIND(")", A7)+1, LEN(A7))), " ", REPT(" ", 100)), 301, 100)))</f>
        <v>1</v>
      </c>
      <c r="J7" s="6">
        <f>VALUE(TRIM(MID(SUBSTITUTE(TRIM(MID(A7, FIND(")", A7)+1, LEN(A7))), " ", REPT(" ", 100)), 401, 100)))</f>
        <v>1</v>
      </c>
      <c r="L7" s="3"/>
    </row>
    <row r="8" spans="1:12">
      <c r="A8" s="1" t="s">
        <v>88</v>
      </c>
      <c r="B8" s="1"/>
      <c r="C8" s="6">
        <f>VALUE(MID(A8, FIND("(", A8) + 1, FIND("-", A8, FIND("(", A8)) - FIND("(", A8) - 1))</f>
        <v>3</v>
      </c>
      <c r="D8" s="6">
        <f>VALUE(MID(A8, FIND("-", A8, FIND("(", A8)) + 1, FIND("-", A8, FIND("-", A8, FIND("(", A8)) + 1) - FIND("-", A8, FIND("(", A8)) - 1))</f>
        <v>4</v>
      </c>
      <c r="E8" s="6">
        <f>VALUE(MID(A8, FIND("-", A8, FIND("-", A8, FIND("(", A8)) + 1) + 1, FIND(")", A8) - FIND("-", A8, FIND("-", A8, FIND("(", A8)) + 1) - 1))</f>
        <v>2</v>
      </c>
      <c r="F8" s="6">
        <f>VALUE(TRIM(MID(SUBSTITUTE(TRIM(MID(A8, FIND(")", A8)+1, LEN(A8))), " ", REPT(" ", 100)), 1, 100)))</f>
        <v>2</v>
      </c>
      <c r="G8" s="6">
        <f>VALUE(TRIM(MID(SUBSTITUTE(TRIM(MID(A8, FIND(")", A8) + 1, LEN(A8))), " ", REPT(" ", 100)), 100, 100)))</f>
        <v>0</v>
      </c>
      <c r="H8" s="6">
        <f>VALUE(TRIM(MID(SUBSTITUTE(TRIM(MID(A8, FIND(")", A8)+1, LEN(A8))), " ", REPT(" ", 100)), 201, 100)))</f>
        <v>0</v>
      </c>
      <c r="I8" s="6">
        <f>VALUE(TRIM(MID(SUBSTITUTE(TRIM(MID(A8, FIND(")", A8)+1, LEN(A8))), " ", REPT(" ", 100)), 301, 100)))</f>
        <v>2</v>
      </c>
      <c r="J8" s="6">
        <f>VALUE(TRIM(MID(SUBSTITUTE(TRIM(MID(A8, FIND(")", A8)+1, LEN(A8))), " ", REPT(" ", 100)), 401, 100)))</f>
        <v>2</v>
      </c>
      <c r="L8" s="3"/>
    </row>
    <row r="9" spans="1:12">
      <c r="A9" s="1" t="s">
        <v>89</v>
      </c>
      <c r="B9" s="1"/>
      <c r="C9" s="6">
        <f>VALUE(MID(A9, FIND("(", A9) + 1, FIND("-", A9, FIND("(", A9)) - FIND("(", A9) - 1))</f>
        <v>0</v>
      </c>
      <c r="D9" s="6">
        <f>VALUE(MID(A9, FIND("-", A9, FIND("(", A9)) + 1, FIND("-", A9, FIND("-", A9, FIND("(", A9)) + 1) - FIND("-", A9, FIND("(", A9)) - 1))</f>
        <v>2</v>
      </c>
      <c r="E9" s="6">
        <f>VALUE(MID(A9, FIND("-", A9, FIND("-", A9, FIND("(", A9)) + 1) + 1, FIND(")", A9) - FIND("-", A9, FIND("-", A9, FIND("(", A9)) + 1) - 1))</f>
        <v>0</v>
      </c>
      <c r="F9" s="6">
        <f>VALUE(TRIM(MID(SUBSTITUTE(TRIM(MID(A9, FIND(")", A9)+1, LEN(A9))), " ", REPT(" ", 100)), 1, 100)))</f>
        <v>0</v>
      </c>
      <c r="G9" s="6">
        <f>VALUE(TRIM(MID(SUBSTITUTE(TRIM(MID(A9, FIND(")", A9) + 1, LEN(A9))), " ", REPT(" ", 100)), 100, 100)))</f>
        <v>1</v>
      </c>
      <c r="H9" s="6">
        <f>VALUE(TRIM(MID(SUBSTITUTE(TRIM(MID(A9, FIND(")", A9)+1, LEN(A9))), " ", REPT(" ", 100)), 201, 100)))</f>
        <v>0</v>
      </c>
      <c r="I9" s="6">
        <f>VALUE(TRIM(MID(SUBSTITUTE(TRIM(MID(A9, FIND(")", A9)+1, LEN(A9))), " ", REPT(" ", 100)), 301, 100)))</f>
        <v>0</v>
      </c>
      <c r="J9" s="6">
        <f>VALUE(TRIM(MID(SUBSTITUTE(TRIM(MID(A9, FIND(")", A9)+1, LEN(A9))), " ", REPT(" ", 100)), 401, 100)))</f>
        <v>0</v>
      </c>
      <c r="L9" s="3"/>
    </row>
    <row r="10" spans="1:12">
      <c r="A10" s="1" t="s">
        <v>90</v>
      </c>
      <c r="B10" s="1"/>
      <c r="C10" s="6">
        <f>VALUE(MID(A10, FIND("(", A10) + 1, FIND("-", A10, FIND("(", A10)) - FIND("(", A10) - 1))</f>
        <v>1</v>
      </c>
      <c r="D10" s="6">
        <f>VALUE(MID(A10, FIND("-", A10, FIND("(", A10)) + 1, FIND("-", A10, FIND("-", A10, FIND("(", A10)) + 1) - FIND("-", A10, FIND("(", A10)) - 1))</f>
        <v>0</v>
      </c>
      <c r="E10" s="6">
        <f>VALUE(MID(A10, FIND("-", A10, FIND("-", A10, FIND("(", A10)) + 1) + 1, FIND(")", A10) - FIND("-", A10, FIND("-", A10, FIND("(", A10)) + 1) - 1))</f>
        <v>0</v>
      </c>
      <c r="F10" s="6">
        <f>VALUE(TRIM(MID(SUBSTITUTE(TRIM(MID(A10, FIND(")", A10)+1, LEN(A10))), " ", REPT(" ", 100)), 1, 100)))</f>
        <v>1</v>
      </c>
      <c r="G10" s="6">
        <f>VALUE(TRIM(MID(SUBSTITUTE(TRIM(MID(A10, FIND(")", A10) + 1, LEN(A10))), " ", REPT(" ", 100)), 100, 100)))</f>
        <v>1</v>
      </c>
      <c r="H10" s="6">
        <f>VALUE(TRIM(MID(SUBSTITUTE(TRIM(MID(A10, FIND(")", A10)+1, LEN(A10))), " ", REPT(" ", 100)), 201, 100)))</f>
        <v>2</v>
      </c>
      <c r="I10" s="6">
        <f>VALUE(TRIM(MID(SUBSTITUTE(TRIM(MID(A10, FIND(")", A10)+1, LEN(A10))), " ", REPT(" ", 100)), 301, 100)))</f>
        <v>1</v>
      </c>
      <c r="J10" s="6">
        <f>VALUE(TRIM(MID(SUBSTITUTE(TRIM(MID(A10, FIND(")", A10)+1, LEN(A10))), " ", REPT(" ", 100)), 401, 100)))</f>
        <v>3</v>
      </c>
      <c r="L10" s="3"/>
    </row>
    <row r="11" spans="1:12">
      <c r="A11" s="1" t="s">
        <v>91</v>
      </c>
      <c r="B11" s="1"/>
      <c r="C11" s="6">
        <f>VALUE(MID(A11, FIND("(", A11) + 1, FIND("-", A11, FIND("(", A11)) - FIND("(", A11) - 1))</f>
        <v>0</v>
      </c>
      <c r="D11" s="6">
        <f>VALUE(MID(A11, FIND("-", A11, FIND("(", A11)) + 1, FIND("-", A11, FIND("-", A11, FIND("(", A11)) + 1) - FIND("-", A11, FIND("(", A11)) - 1))</f>
        <v>0</v>
      </c>
      <c r="E11" s="6">
        <f>VALUE(MID(A11, FIND("-", A11, FIND("-", A11, FIND("(", A11)) + 1) + 1, FIND(")", A11) - FIND("-", A11, FIND("-", A11, FIND("(", A11)) + 1) - 1))</f>
        <v>1</v>
      </c>
      <c r="F11" s="6">
        <f>VALUE(TRIM(MID(SUBSTITUTE(TRIM(MID(A11, FIND(")", A11)+1, LEN(A11))), " ", REPT(" ", 100)), 1, 100)))</f>
        <v>0</v>
      </c>
      <c r="G11" s="6">
        <f>VALUE(TRIM(MID(SUBSTITUTE(TRIM(MID(A11, FIND(")", A11) + 1, LEN(A11))), " ", REPT(" ", 100)), 100, 100)))</f>
        <v>0</v>
      </c>
      <c r="H11" s="6">
        <f>VALUE(TRIM(MID(SUBSTITUTE(TRIM(MID(A11, FIND(")", A11)+1, LEN(A11))), " ", REPT(" ", 100)), 201, 100)))</f>
        <v>2</v>
      </c>
      <c r="I11" s="6">
        <f>VALUE(TRIM(MID(SUBSTITUTE(TRIM(MID(A11, FIND(")", A11)+1, LEN(A11))), " ", REPT(" ", 100)), 301, 100)))</f>
        <v>0</v>
      </c>
      <c r="J11" s="6">
        <f>VALUE(TRIM(MID(SUBSTITUTE(TRIM(MID(A11, FIND(")", A11)+1, LEN(A11))), " ", REPT(" ", 100)), 401, 100)))</f>
        <v>2</v>
      </c>
      <c r="L11" s="3"/>
    </row>
    <row r="12" spans="1:12">
      <c r="A12" s="1" t="s">
        <v>92</v>
      </c>
      <c r="B12" s="1"/>
      <c r="C12" s="6">
        <f>VALUE(MID(A12, FIND("(", A12) + 1, FIND("-", A12, FIND("(", A12)) - FIND("(", A12) - 1))</f>
        <v>0</v>
      </c>
      <c r="D12" s="6">
        <f>VALUE(MID(A12, FIND("-", A12, FIND("(", A12)) + 1, FIND("-", A12, FIND("-", A12, FIND("(", A12)) + 1) - FIND("-", A12, FIND("(", A12)) - 1))</f>
        <v>0</v>
      </c>
      <c r="E12" s="6">
        <f>VALUE(MID(A12, FIND("-", A12, FIND("-", A12, FIND("(", A12)) + 1) + 1, FIND(")", A12) - FIND("-", A12, FIND("-", A12, FIND("(", A12)) + 1) - 1))</f>
        <v>0</v>
      </c>
      <c r="F12" s="6">
        <f>VALUE(TRIM(MID(SUBSTITUTE(TRIM(MID(A12, FIND(")", A12)+1, LEN(A12))), " ", REPT(" ", 100)), 1, 100)))</f>
        <v>0</v>
      </c>
      <c r="G12" s="6">
        <f>VALUE(TRIM(MID(SUBSTITUTE(TRIM(MID(A12, FIND(")", A12) + 1, LEN(A12))), " ", REPT(" ", 100)), 100, 100)))</f>
        <v>0</v>
      </c>
      <c r="H12" s="6">
        <f>VALUE(TRIM(MID(SUBSTITUTE(TRIM(MID(A12, FIND(")", A12)+1, LEN(A12))), " ", REPT(" ", 100)), 201, 100)))</f>
        <v>0</v>
      </c>
      <c r="I12" s="6">
        <f>VALUE(TRIM(MID(SUBSTITUTE(TRIM(MID(A12, FIND(")", A12)+1, LEN(A12))), " ", REPT(" ", 100)), 301, 100)))</f>
        <v>4</v>
      </c>
      <c r="J12" s="6">
        <f>VALUE(TRIM(MID(SUBSTITUTE(TRIM(MID(A12, FIND(")", A12)+1, LEN(A12))), " ", REPT(" ", 100)), 401, 100)))</f>
        <v>4</v>
      </c>
      <c r="L12" s="3"/>
    </row>
    <row r="13" spans="1:12">
      <c r="A13" s="1" t="s">
        <v>93</v>
      </c>
      <c r="B13" s="1"/>
      <c r="C13" s="6">
        <f>VALUE(MID(A13, FIND("(", A13) + 1, FIND("-", A13, FIND("(", A13)) - FIND("(", A13) - 1))</f>
        <v>1</v>
      </c>
      <c r="D13" s="6">
        <f>VALUE(MID(A13, FIND("-", A13, FIND("(", A13)) + 1, FIND("-", A13, FIND("-", A13, FIND("(", A13)) + 1) - FIND("-", A13, FIND("(", A13)) - 1))</f>
        <v>0</v>
      </c>
      <c r="E13" s="6">
        <f>VALUE(MID(A13, FIND("-", A13, FIND("-", A13, FIND("(", A13)) + 1) + 1, FIND(")", A13) - FIND("-", A13, FIND("-", A13, FIND("(", A13)) + 1) - 1))</f>
        <v>0</v>
      </c>
      <c r="F13" s="6">
        <f>VALUE(TRIM(MID(SUBSTITUTE(TRIM(MID(A13, FIND(")", A13)+1, LEN(A13))), " ", REPT(" ", 100)), 1, 100)))</f>
        <v>0</v>
      </c>
      <c r="G13" s="6">
        <f>VALUE(TRIM(MID(SUBSTITUTE(TRIM(MID(A13, FIND(")", A13) + 1, LEN(A13))), " ", REPT(" ", 100)), 100, 100)))</f>
        <v>0</v>
      </c>
      <c r="H13" s="6">
        <f>VALUE(TRIM(MID(SUBSTITUTE(TRIM(MID(A13, FIND(")", A13)+1, LEN(A13))), " ", REPT(" ", 100)), 201, 100)))</f>
        <v>0</v>
      </c>
      <c r="I13" s="6">
        <f>VALUE(TRIM(MID(SUBSTITUTE(TRIM(MID(A13, FIND(")", A13)+1, LEN(A13))), " ", REPT(" ", 100)), 301, 100)))</f>
        <v>1</v>
      </c>
      <c r="J13" s="6">
        <f>VALUE(TRIM(MID(SUBSTITUTE(TRIM(MID(A13, FIND(")", A13)+1, LEN(A13))), " ", REPT(" ", 100)), 401, 100)))</f>
        <v>1</v>
      </c>
      <c r="L13" s="3"/>
    </row>
    <row r="14" spans="1:12">
      <c r="A14" s="1" t="s">
        <v>94</v>
      </c>
      <c r="B14" s="1"/>
      <c r="C14" s="6">
        <f>VALUE(MID(A14, FIND("(", A14) + 1, FIND("-", A14, FIND("(", A14)) - FIND("(", A14) - 1))</f>
        <v>0</v>
      </c>
      <c r="D14" s="6">
        <f>VALUE(MID(A14, FIND("-", A14, FIND("(", A14)) + 1, FIND("-", A14, FIND("-", A14, FIND("(", A14)) + 1) - FIND("-", A14, FIND("(", A14)) - 1))</f>
        <v>0</v>
      </c>
      <c r="E14" s="6">
        <f>VALUE(MID(A14, FIND("-", A14, FIND("-", A14, FIND("(", A14)) + 1) + 1, FIND(")", A14) - FIND("-", A14, FIND("-", A14, FIND("(", A14)) + 1) - 1))</f>
        <v>0</v>
      </c>
      <c r="F14" s="6">
        <f>VALUE(TRIM(MID(SUBSTITUTE(TRIM(MID(A14, FIND(")", A14)+1, LEN(A14))), " ", REPT(" ", 100)), 1, 100)))</f>
        <v>0</v>
      </c>
      <c r="G14" s="6">
        <f>VALUE(TRIM(MID(SUBSTITUTE(TRIM(MID(A14, FIND(")", A14) + 1, LEN(A14))), " ", REPT(" ", 100)), 100, 100)))</f>
        <v>0</v>
      </c>
      <c r="H14" s="6">
        <f>VALUE(TRIM(MID(SUBSTITUTE(TRIM(MID(A14, FIND(")", A14)+1, LEN(A14))), " ", REPT(" ", 100)), 201, 100)))</f>
        <v>0</v>
      </c>
      <c r="I14" s="6">
        <f>VALUE(TRIM(MID(SUBSTITUTE(TRIM(MID(A14, FIND(")", A14)+1, LEN(A14))), " ", REPT(" ", 100)), 301, 100)))</f>
        <v>0</v>
      </c>
      <c r="J14" s="6">
        <f>VALUE(TRIM(MID(SUBSTITUTE(TRIM(MID(A14, FIND(")", A14)+1, LEN(A14))), " ", REPT(" ", 100)), 401, 100)))</f>
        <v>0</v>
      </c>
      <c r="L14" s="3"/>
    </row>
    <row r="15" spans="1:12">
      <c r="A15" s="1" t="s">
        <v>95</v>
      </c>
      <c r="B15" s="1"/>
      <c r="C15" s="6">
        <f>VALUE(MID(A15, FIND("(", A15) + 1, FIND("-", A15, FIND("(", A15)) - FIND("(", A15) - 1))</f>
        <v>0</v>
      </c>
      <c r="D15" s="6">
        <f>VALUE(MID(A15, FIND("-", A15, FIND("(", A15)) + 1, FIND("-", A15, FIND("-", A15, FIND("(", A15)) + 1) - FIND("-", A15, FIND("(", A15)) - 1))</f>
        <v>0</v>
      </c>
      <c r="E15" s="6">
        <f>VALUE(MID(A15, FIND("-", A15, FIND("-", A15, FIND("(", A15)) + 1) + 1, FIND(")", A15) - FIND("-", A15, FIND("-", A15, FIND("(", A15)) + 1) - 1))</f>
        <v>0</v>
      </c>
      <c r="F15" s="6">
        <f>VALUE(TRIM(MID(SUBSTITUTE(TRIM(MID(A15, FIND(")", A15)+1, LEN(A15))), " ", REPT(" ", 100)), 1, 100)))</f>
        <v>0</v>
      </c>
      <c r="G15" s="6">
        <f>VALUE(TRIM(MID(SUBSTITUTE(TRIM(MID(A15, FIND(")", A15) + 1, LEN(A15))), " ", REPT(" ", 100)), 100, 100)))</f>
        <v>1</v>
      </c>
      <c r="H15" s="6">
        <f>VALUE(TRIM(MID(SUBSTITUTE(TRIM(MID(A15, FIND(")", A15)+1, LEN(A15))), " ", REPT(" ", 100)), 201, 100)))</f>
        <v>0</v>
      </c>
      <c r="I15" s="6">
        <f>VALUE(TRIM(MID(SUBSTITUTE(TRIM(MID(A15, FIND(")", A15)+1, LEN(A15))), " ", REPT(" ", 100)), 301, 100)))</f>
        <v>1</v>
      </c>
      <c r="J15" s="6">
        <f>VALUE(TRIM(MID(SUBSTITUTE(TRIM(MID(A15, FIND(")", A15)+1, LEN(A15))), " ", REPT(" ", 100)), 401, 100)))</f>
        <v>1</v>
      </c>
      <c r="L15" s="3"/>
    </row>
    <row r="16" spans="1:12">
      <c r="A16" s="1" t="s">
        <v>96</v>
      </c>
      <c r="B16" s="1"/>
      <c r="C16" s="6">
        <f>VALUE(MID(A16, FIND("(", A16) + 1, FIND("-", A16, FIND("(", A16)) - FIND("(", A16) - 1))</f>
        <v>0</v>
      </c>
      <c r="D16" s="6">
        <f>VALUE(MID(A16, FIND("-", A16, FIND("(", A16)) + 1, FIND("-", A16, FIND("-", A16, FIND("(", A16)) + 1) - FIND("-", A16, FIND("(", A16)) - 1))</f>
        <v>0</v>
      </c>
      <c r="E16" s="6">
        <f>VALUE(MID(A16, FIND("-", A16, FIND("-", A16, FIND("(", A16)) + 1) + 1, FIND(")", A16) - FIND("-", A16, FIND("-", A16, FIND("(", A16)) + 1) - 1))</f>
        <v>0</v>
      </c>
      <c r="F16" s="6">
        <f>VALUE(TRIM(MID(SUBSTITUTE(TRIM(MID(A16, FIND(")", A16)+1, LEN(A16))), " ", REPT(" ", 100)), 1, 100)))</f>
        <v>0</v>
      </c>
      <c r="G16" s="6">
        <f>VALUE(TRIM(MID(SUBSTITUTE(TRIM(MID(A16, FIND(")", A16) + 1, LEN(A16))), " ", REPT(" ", 100)), 100, 100)))</f>
        <v>1</v>
      </c>
      <c r="H16" s="6">
        <f>VALUE(TRIM(MID(SUBSTITUTE(TRIM(MID(A16, FIND(")", A16)+1, LEN(A16))), " ", REPT(" ", 100)), 201, 100)))</f>
        <v>0</v>
      </c>
      <c r="I16" s="6">
        <f>VALUE(TRIM(MID(SUBSTITUTE(TRIM(MID(A16, FIND(")", A16)+1, LEN(A16))), " ", REPT(" ", 100)), 301, 100)))</f>
        <v>1</v>
      </c>
      <c r="J16" s="6">
        <f>VALUE(TRIM(MID(SUBSTITUTE(TRIM(MID(A16, FIND(")", A16)+1, LEN(A16))), " ", REPT(" ", 100)), 401, 100)))</f>
        <v>1</v>
      </c>
      <c r="L16" s="3"/>
    </row>
    <row r="17" spans="1:12">
      <c r="A17" s="1" t="s">
        <v>97</v>
      </c>
      <c r="B17" s="1"/>
      <c r="C17" s="6">
        <f>VALUE(MID(A17, FIND("(", A17) + 1, FIND("-", A17, FIND("(", A17)) - FIND("(", A17) - 1))</f>
        <v>0</v>
      </c>
      <c r="D17" s="6">
        <f>VALUE(MID(A17, FIND("-", A17, FIND("(", A17)) + 1, FIND("-", A17, FIND("-", A17, FIND("(", A17)) + 1) - FIND("-", A17, FIND("(", A17)) - 1))</f>
        <v>0</v>
      </c>
      <c r="E17" s="6">
        <f>VALUE(MID(A17, FIND("-", A17, FIND("-", A17, FIND("(", A17)) + 1) + 1, FIND(")", A17) - FIND("-", A17, FIND("-", A17, FIND("(", A17)) + 1) - 1))</f>
        <v>0</v>
      </c>
      <c r="F17" s="6">
        <f>VALUE(TRIM(MID(SUBSTITUTE(TRIM(MID(A17, FIND(")", A17)+1, LEN(A17))), " ", REPT(" ", 100)), 1, 100)))</f>
        <v>0</v>
      </c>
      <c r="G17" s="6">
        <f>VALUE(TRIM(MID(SUBSTITUTE(TRIM(MID(A17, FIND(")", A17) + 1, LEN(A17))), " ", REPT(" ", 100)), 100, 100)))</f>
        <v>2</v>
      </c>
      <c r="H17" s="6">
        <f>VALUE(TRIM(MID(SUBSTITUTE(TRIM(MID(A17, FIND(")", A17)+1, LEN(A17))), " ", REPT(" ", 100)), 201, 100)))</f>
        <v>0</v>
      </c>
      <c r="I17" s="6">
        <f>VALUE(TRIM(MID(SUBSTITUTE(TRIM(MID(A17, FIND(")", A17)+1, LEN(A17))), " ", REPT(" ", 100)), 301, 100)))</f>
        <v>0</v>
      </c>
      <c r="J17" s="6">
        <f>VALUE(TRIM(MID(SUBSTITUTE(TRIM(MID(A17, FIND(")", A17)+1, LEN(A17))), " ", REPT(" ", 100)), 401, 100)))</f>
        <v>0</v>
      </c>
      <c r="L17" s="3"/>
    </row>
    <row r="18" spans="1:12">
      <c r="A18" s="1" t="s">
        <v>98</v>
      </c>
      <c r="B18" s="1"/>
      <c r="C18" s="6">
        <f>VALUE(MID(A18, FIND("(", A18) + 1, FIND("-", A18, FIND("(", A18)) - FIND("(", A18) - 1))</f>
        <v>0</v>
      </c>
      <c r="D18" s="6">
        <f>VALUE(MID(A18, FIND("-", A18, FIND("(", A18)) + 1, FIND("-", A18, FIND("-", A18, FIND("(", A18)) + 1) - FIND("-", A18, FIND("(", A18)) - 1))</f>
        <v>0</v>
      </c>
      <c r="E18" s="6">
        <f>VALUE(MID(A18, FIND("-", A18, FIND("-", A18, FIND("(", A18)) + 1) + 1, FIND(")", A18) - FIND("-", A18, FIND("-", A18, FIND("(", A18)) + 1) - 1))</f>
        <v>0</v>
      </c>
      <c r="F18" s="6">
        <f>VALUE(TRIM(MID(SUBSTITUTE(TRIM(MID(A18, FIND(")", A18)+1, LEN(A18))), " ", REPT(" ", 100)), 1, 100)))</f>
        <v>1</v>
      </c>
      <c r="G18" s="6">
        <f>VALUE(TRIM(MID(SUBSTITUTE(TRIM(MID(A18, FIND(")", A18) + 1, LEN(A18))), " ", REPT(" ", 100)), 100, 100)))</f>
        <v>0</v>
      </c>
      <c r="H18" s="6">
        <f>VALUE(TRIM(MID(SUBSTITUTE(TRIM(MID(A18, FIND(")", A18)+1, LEN(A18))), " ", REPT(" ", 100)), 201, 100)))</f>
        <v>0</v>
      </c>
      <c r="I18" s="6">
        <f>VALUE(TRIM(MID(SUBSTITUTE(TRIM(MID(A18, FIND(")", A18)+1, LEN(A18))), " ", REPT(" ", 100)), 301, 100)))</f>
        <v>1</v>
      </c>
      <c r="J18" s="6">
        <f>VALUE(TRIM(MID(SUBSTITUTE(TRIM(MID(A18, FIND(")", A18)+1, LEN(A18))), " ", REPT(" ", 100)), 401, 100)))</f>
        <v>1</v>
      </c>
      <c r="L18" s="3"/>
    </row>
    <row r="19" spans="1:12">
      <c r="A19" s="1" t="s">
        <v>99</v>
      </c>
      <c r="B19" s="1"/>
      <c r="C19" s="6">
        <f>VALUE(MID(A19, FIND("(", A19) + 1, FIND("-", A19, FIND("(", A19)) - FIND("(", A19) - 1))</f>
        <v>0</v>
      </c>
      <c r="D19" s="6">
        <f>VALUE(MID(A19, FIND("-", A19, FIND("(", A19)) + 1, FIND("-", A19, FIND("-", A19, FIND("(", A19)) + 1) - FIND("-", A19, FIND("(", A19)) - 1))</f>
        <v>1</v>
      </c>
      <c r="E19" s="6">
        <f>VALUE(MID(A19, FIND("-", A19, FIND("-", A19, FIND("(", A19)) + 1) + 1, FIND(")", A19) - FIND("-", A19, FIND("-", A19, FIND("(", A19)) + 1) - 1))</f>
        <v>0</v>
      </c>
      <c r="F19" s="6">
        <f>VALUE(TRIM(MID(SUBSTITUTE(TRIM(MID(A19, FIND(")", A19)+1, LEN(A19))), " ", REPT(" ", 100)), 1, 100)))</f>
        <v>1</v>
      </c>
      <c r="G19" s="6">
        <f>VALUE(TRIM(MID(SUBSTITUTE(TRIM(MID(A19, FIND(")", A19) + 1, LEN(A19))), " ", REPT(" ", 100)), 100, 100)))</f>
        <v>0</v>
      </c>
      <c r="H19" s="6">
        <f>VALUE(TRIM(MID(SUBSTITUTE(TRIM(MID(A19, FIND(")", A19)+1, LEN(A19))), " ", REPT(" ", 100)), 201, 100)))</f>
        <v>0</v>
      </c>
      <c r="I19" s="6">
        <f>VALUE(TRIM(MID(SUBSTITUTE(TRIM(MID(A19, FIND(")", A19)+1, LEN(A19))), " ", REPT(" ", 100)), 301, 100)))</f>
        <v>1</v>
      </c>
      <c r="J19" s="6">
        <f>VALUE(TRIM(MID(SUBSTITUTE(TRIM(MID(A19, FIND(")", A19)+1, LEN(A19))), " ", REPT(" ", 100)), 401, 100)))</f>
        <v>1</v>
      </c>
      <c r="L19" s="3"/>
    </row>
    <row r="20" spans="1:12">
      <c r="A20" s="1"/>
      <c r="B20" s="1"/>
      <c r="C20" s="2">
        <f>SUM(C4:C19)</f>
        <v>10</v>
      </c>
      <c r="D20" s="2">
        <f>SUM(D4:D19)</f>
        <v>15</v>
      </c>
      <c r="E20" s="2">
        <f>SUM(E4:E19)</f>
        <v>5</v>
      </c>
      <c r="F20" s="2">
        <f>SUM(F4:F19)</f>
        <v>7</v>
      </c>
      <c r="G20" s="2">
        <f>SUM(G4:G19)</f>
        <v>7</v>
      </c>
      <c r="H20" s="2">
        <f>SUM(H4:H19)</f>
        <v>4</v>
      </c>
      <c r="I20" s="2">
        <f>SUM(I4:I19)</f>
        <v>13</v>
      </c>
      <c r="J20" s="2">
        <f>SUM(J4:J19)</f>
        <v>17</v>
      </c>
      <c r="L20" s="3"/>
    </row>
    <row r="21" spans="1:12">
      <c r="A21" s="1" t="s">
        <v>100</v>
      </c>
      <c r="B21" s="1"/>
    </row>
    <row r="22" spans="1:12">
      <c r="A22" s="1" t="s">
        <v>0</v>
      </c>
      <c r="B22" s="1"/>
      <c r="C22" s="5" t="s">
        <v>1</v>
      </c>
      <c r="D22" s="5" t="s">
        <v>2</v>
      </c>
      <c r="E22" s="5" t="s">
        <v>3</v>
      </c>
      <c r="F22" s="5" t="s">
        <v>4</v>
      </c>
      <c r="G22" s="5" t="s">
        <v>5</v>
      </c>
      <c r="H22" s="5" t="s">
        <v>6</v>
      </c>
      <c r="I22" s="5" t="s">
        <v>7</v>
      </c>
      <c r="J22" s="5" t="s">
        <v>8</v>
      </c>
    </row>
    <row r="23" spans="1:12">
      <c r="A23" s="1" t="s">
        <v>101</v>
      </c>
      <c r="B23" s="1"/>
      <c r="C23" s="6">
        <f>VALUE(MID(A23, FIND("(", A23) + 1, FIND("-", A23, FIND("(", A23)) - FIND("(", A23) - 1))</f>
        <v>1</v>
      </c>
      <c r="D23" s="6">
        <f>VALUE(MID(A23, FIND("-", A23, FIND("(", A23)) + 1, FIND("-", A23, FIND("-", A23, FIND("(", A23)) + 1) - FIND("-", A23, FIND("(", A23)) - 1))</f>
        <v>4</v>
      </c>
      <c r="E23" s="6">
        <f>VALUE(MID(A23, FIND("-", A23, FIND("-", A23, FIND("(", A23)) + 1) + 1, FIND(")", A23) - FIND("-", A23, FIND("-", A23, FIND("(", A23)) + 1) - 1))</f>
        <v>1</v>
      </c>
      <c r="F23" s="6">
        <f>VALUE(TRIM(MID(SUBSTITUTE(TRIM(MID(A23, FIND(")", A23)+1, LEN(A23))), " ", REPT(" ", 100)), 1, 100)))</f>
        <v>0</v>
      </c>
      <c r="G23" s="6">
        <f>VALUE(TRIM(MID(SUBSTITUTE(TRIM(MID(A23, FIND(")", A23) + 1, LEN(A23))), " ", REPT(" ", 100)), 100, 100)))</f>
        <v>2</v>
      </c>
      <c r="H23" s="6">
        <f>VALUE(TRIM(MID(SUBSTITUTE(TRIM(MID(A23, FIND(")", A23)+1, LEN(A23))), " ", REPT(" ", 100)), 201, 100)))</f>
        <v>3</v>
      </c>
      <c r="I23" s="6">
        <f>VALUE(TRIM(MID(SUBSTITUTE(TRIM(MID(A23, FIND(")", A23)+1, LEN(A23))), " ", REPT(" ", 100)), 301, 100)))</f>
        <v>1</v>
      </c>
      <c r="J23" s="6">
        <f>VALUE(TRIM(MID(SUBSTITUTE(TRIM(MID(A23, FIND(")", A23)+1, LEN(A23))), " ", REPT(" ", 100)), 401, 100)))</f>
        <v>4</v>
      </c>
    </row>
    <row r="24" spans="1:12">
      <c r="A24" s="1" t="s">
        <v>102</v>
      </c>
      <c r="B24" s="1"/>
      <c r="C24" s="6">
        <f t="shared" ref="C24:C38" si="0">VALUE(MID(A24, FIND("(", A24) + 1, FIND("-", A24, FIND("(", A24)) - FIND("(", A24) - 1))</f>
        <v>0</v>
      </c>
      <c r="D24" s="6">
        <f t="shared" ref="D24:D38" si="1">VALUE(MID(A24, FIND("-", A24, FIND("(", A24)) + 1, FIND("-", A24, FIND("-", A24, FIND("(", A24)) + 1) - FIND("-", A24, FIND("(", A24)) - 1))</f>
        <v>1</v>
      </c>
      <c r="E24" s="6">
        <f t="shared" ref="E24:E38" si="2">VALUE(MID(A24, FIND("-", A24, FIND("-", A24, FIND("(", A24)) + 1) + 1, FIND(")", A24) - FIND("-", A24, FIND("-", A24, FIND("(", A24)) + 1) - 1))</f>
        <v>0</v>
      </c>
      <c r="F24" s="6">
        <f t="shared" ref="F24:F38" si="3">VALUE(TRIM(MID(SUBSTITUTE(TRIM(MID(A24, FIND(")", A24)+1, LEN(A24))), " ", REPT(" ", 100)), 1, 100)))</f>
        <v>1</v>
      </c>
      <c r="G24" s="6">
        <f t="shared" ref="G24:G38" si="4">VALUE(TRIM(MID(SUBSTITUTE(TRIM(MID(A24, FIND(")", A24) + 1, LEN(A24))), " ", REPT(" ", 100)), 100, 100)))</f>
        <v>2</v>
      </c>
      <c r="H24" s="6">
        <f t="shared" ref="H24:H38" si="5">VALUE(TRIM(MID(SUBSTITUTE(TRIM(MID(A24, FIND(")", A24)+1, LEN(A24))), " ", REPT(" ", 100)), 201, 100)))</f>
        <v>0</v>
      </c>
      <c r="I24" s="6">
        <f t="shared" ref="I24:I38" si="6">VALUE(TRIM(MID(SUBSTITUTE(TRIM(MID(A24, FIND(")", A24)+1, LEN(A24))), " ", REPT(" ", 100)), 301, 100)))</f>
        <v>0</v>
      </c>
      <c r="J24" s="6">
        <f t="shared" ref="J24:J38" si="7">VALUE(TRIM(MID(SUBSTITUTE(TRIM(MID(A24, FIND(")", A24)+1, LEN(A24))), " ", REPT(" ", 100)), 401, 100)))</f>
        <v>0</v>
      </c>
    </row>
    <row r="25" spans="1:12">
      <c r="A25" s="1" t="s">
        <v>103</v>
      </c>
      <c r="B25" s="1"/>
      <c r="C25" s="6">
        <f t="shared" si="0"/>
        <v>2</v>
      </c>
      <c r="D25" s="6">
        <f t="shared" si="1"/>
        <v>4</v>
      </c>
      <c r="E25" s="6">
        <f t="shared" si="2"/>
        <v>0</v>
      </c>
      <c r="F25" s="6">
        <f t="shared" si="3"/>
        <v>0</v>
      </c>
      <c r="G25" s="6">
        <f t="shared" si="4"/>
        <v>0</v>
      </c>
      <c r="H25" s="6">
        <f t="shared" si="5"/>
        <v>2</v>
      </c>
      <c r="I25" s="6">
        <f t="shared" si="6"/>
        <v>1</v>
      </c>
      <c r="J25" s="6">
        <f t="shared" si="7"/>
        <v>3</v>
      </c>
    </row>
    <row r="26" spans="1:12">
      <c r="A26" s="1" t="s">
        <v>104</v>
      </c>
      <c r="B26" s="1"/>
      <c r="C26" s="6">
        <f t="shared" si="0"/>
        <v>0</v>
      </c>
      <c r="D26" s="6">
        <f t="shared" si="1"/>
        <v>3</v>
      </c>
      <c r="E26" s="6">
        <f t="shared" si="2"/>
        <v>0</v>
      </c>
      <c r="F26" s="6">
        <f t="shared" si="3"/>
        <v>0</v>
      </c>
      <c r="G26" s="6">
        <f t="shared" si="4"/>
        <v>1</v>
      </c>
      <c r="H26" s="6">
        <f t="shared" si="5"/>
        <v>0</v>
      </c>
      <c r="I26" s="6">
        <f t="shared" si="6"/>
        <v>1</v>
      </c>
      <c r="J26" s="6">
        <f t="shared" si="7"/>
        <v>1</v>
      </c>
    </row>
    <row r="27" spans="1:12">
      <c r="A27" s="1" t="s">
        <v>105</v>
      </c>
      <c r="B27" s="1"/>
      <c r="C27" s="6">
        <f t="shared" si="0"/>
        <v>1</v>
      </c>
      <c r="D27" s="6">
        <f t="shared" si="1"/>
        <v>0</v>
      </c>
      <c r="E27" s="6">
        <f t="shared" si="2"/>
        <v>1</v>
      </c>
      <c r="F27" s="6">
        <f t="shared" si="3"/>
        <v>2</v>
      </c>
      <c r="G27" s="6">
        <f t="shared" si="4"/>
        <v>0</v>
      </c>
      <c r="H27" s="6">
        <f t="shared" si="5"/>
        <v>0</v>
      </c>
      <c r="I27" s="6">
        <f t="shared" si="6"/>
        <v>2</v>
      </c>
      <c r="J27" s="6">
        <f t="shared" si="7"/>
        <v>2</v>
      </c>
    </row>
    <row r="28" spans="1:12">
      <c r="A28" s="1" t="s">
        <v>106</v>
      </c>
      <c r="B28" s="1"/>
      <c r="C28" s="6">
        <f t="shared" si="0"/>
        <v>0</v>
      </c>
      <c r="D28" s="6">
        <f t="shared" si="1"/>
        <v>1</v>
      </c>
      <c r="E28" s="6">
        <f t="shared" si="2"/>
        <v>1</v>
      </c>
      <c r="F28" s="6">
        <f t="shared" si="3"/>
        <v>0</v>
      </c>
      <c r="G28" s="6">
        <f t="shared" si="4"/>
        <v>0</v>
      </c>
      <c r="H28" s="6">
        <f t="shared" si="5"/>
        <v>0</v>
      </c>
      <c r="I28" s="6">
        <f t="shared" si="6"/>
        <v>0</v>
      </c>
      <c r="J28" s="6">
        <f t="shared" si="7"/>
        <v>0</v>
      </c>
    </row>
    <row r="29" spans="1:12">
      <c r="A29" s="1" t="s">
        <v>107</v>
      </c>
      <c r="B29" s="1"/>
      <c r="C29" s="6">
        <f t="shared" si="0"/>
        <v>4</v>
      </c>
      <c r="D29" s="6">
        <f t="shared" si="1"/>
        <v>2</v>
      </c>
      <c r="E29" s="6">
        <f t="shared" si="2"/>
        <v>1</v>
      </c>
      <c r="F29" s="6">
        <f t="shared" si="3"/>
        <v>1</v>
      </c>
      <c r="G29" s="6">
        <f t="shared" si="4"/>
        <v>0</v>
      </c>
      <c r="H29" s="6">
        <f t="shared" si="5"/>
        <v>0</v>
      </c>
      <c r="I29" s="6">
        <f t="shared" si="6"/>
        <v>3</v>
      </c>
      <c r="J29" s="6">
        <f t="shared" si="7"/>
        <v>3</v>
      </c>
    </row>
    <row r="30" spans="1:12">
      <c r="A30" s="1" t="s">
        <v>108</v>
      </c>
      <c r="B30" s="1"/>
      <c r="C30" s="6">
        <f t="shared" si="0"/>
        <v>0</v>
      </c>
      <c r="D30" s="6">
        <f t="shared" si="1"/>
        <v>2</v>
      </c>
      <c r="E30" s="6">
        <f t="shared" si="2"/>
        <v>2</v>
      </c>
      <c r="F30" s="6">
        <f t="shared" si="3"/>
        <v>0</v>
      </c>
      <c r="G30" s="6">
        <f t="shared" si="4"/>
        <v>0</v>
      </c>
      <c r="H30" s="6">
        <f t="shared" si="5"/>
        <v>0</v>
      </c>
      <c r="I30" s="6">
        <f t="shared" si="6"/>
        <v>0</v>
      </c>
      <c r="J30" s="6">
        <f t="shared" si="7"/>
        <v>0</v>
      </c>
    </row>
    <row r="31" spans="1:12">
      <c r="A31" s="1" t="s">
        <v>109</v>
      </c>
      <c r="B31" s="1"/>
      <c r="C31" s="6">
        <f t="shared" si="0"/>
        <v>0</v>
      </c>
      <c r="D31" s="6">
        <f t="shared" si="1"/>
        <v>1</v>
      </c>
      <c r="E31" s="6">
        <f t="shared" si="2"/>
        <v>0</v>
      </c>
      <c r="F31" s="6">
        <f t="shared" si="3"/>
        <v>1</v>
      </c>
      <c r="G31" s="6">
        <f t="shared" si="4"/>
        <v>1</v>
      </c>
      <c r="H31" s="6">
        <f t="shared" si="5"/>
        <v>2</v>
      </c>
      <c r="I31" s="6">
        <f t="shared" si="6"/>
        <v>3</v>
      </c>
      <c r="J31" s="6">
        <f t="shared" si="7"/>
        <v>5</v>
      </c>
    </row>
    <row r="32" spans="1:12">
      <c r="A32" s="1" t="s">
        <v>110</v>
      </c>
      <c r="B32" s="1"/>
      <c r="C32" s="6">
        <f t="shared" si="0"/>
        <v>0</v>
      </c>
      <c r="D32" s="6">
        <f t="shared" si="1"/>
        <v>1</v>
      </c>
      <c r="E32" s="6">
        <f t="shared" si="2"/>
        <v>2</v>
      </c>
      <c r="F32" s="6">
        <f t="shared" si="3"/>
        <v>1</v>
      </c>
      <c r="G32" s="6">
        <f t="shared" si="4"/>
        <v>0</v>
      </c>
      <c r="H32" s="6">
        <f t="shared" si="5"/>
        <v>0</v>
      </c>
      <c r="I32" s="6">
        <f t="shared" si="6"/>
        <v>1</v>
      </c>
      <c r="J32" s="6">
        <f t="shared" si="7"/>
        <v>1</v>
      </c>
    </row>
    <row r="33" spans="1:10">
      <c r="A33" s="1" t="s">
        <v>111</v>
      </c>
      <c r="B33" s="1"/>
      <c r="C33" s="6">
        <f t="shared" si="0"/>
        <v>0</v>
      </c>
      <c r="D33" s="6">
        <f t="shared" si="1"/>
        <v>0</v>
      </c>
      <c r="E33" s="6">
        <f t="shared" si="2"/>
        <v>0</v>
      </c>
      <c r="F33" s="6">
        <f t="shared" si="3"/>
        <v>0</v>
      </c>
      <c r="G33" s="6">
        <f t="shared" si="4"/>
        <v>0</v>
      </c>
      <c r="H33" s="6">
        <f t="shared" si="5"/>
        <v>1</v>
      </c>
      <c r="I33" s="6">
        <f t="shared" si="6"/>
        <v>0</v>
      </c>
      <c r="J33" s="6">
        <f t="shared" si="7"/>
        <v>1</v>
      </c>
    </row>
    <row r="34" spans="1:10">
      <c r="A34" s="1" t="s">
        <v>112</v>
      </c>
      <c r="B34" s="1"/>
      <c r="C34" s="6">
        <f t="shared" si="0"/>
        <v>0</v>
      </c>
      <c r="D34" s="6">
        <f t="shared" si="1"/>
        <v>0</v>
      </c>
      <c r="E34" s="6">
        <f t="shared" si="2"/>
        <v>0</v>
      </c>
      <c r="F34" s="6">
        <f t="shared" si="3"/>
        <v>0</v>
      </c>
      <c r="G34" s="6">
        <f t="shared" si="4"/>
        <v>0</v>
      </c>
      <c r="H34" s="6">
        <f t="shared" si="5"/>
        <v>0</v>
      </c>
      <c r="I34" s="6">
        <f t="shared" si="6"/>
        <v>0</v>
      </c>
      <c r="J34" s="6">
        <f t="shared" si="7"/>
        <v>0</v>
      </c>
    </row>
    <row r="35" spans="1:10">
      <c r="A35" s="1" t="s">
        <v>113</v>
      </c>
      <c r="B35" s="1"/>
      <c r="C35" s="6">
        <f t="shared" si="0"/>
        <v>0</v>
      </c>
      <c r="D35" s="6">
        <f t="shared" si="1"/>
        <v>0</v>
      </c>
      <c r="E35" s="6">
        <f t="shared" si="2"/>
        <v>0</v>
      </c>
      <c r="F35" s="6">
        <f t="shared" si="3"/>
        <v>1</v>
      </c>
      <c r="G35" s="6">
        <f t="shared" si="4"/>
        <v>1</v>
      </c>
      <c r="H35" s="6">
        <f t="shared" si="5"/>
        <v>0</v>
      </c>
      <c r="I35" s="6">
        <f t="shared" si="6"/>
        <v>0</v>
      </c>
      <c r="J35" s="6">
        <f t="shared" si="7"/>
        <v>0</v>
      </c>
    </row>
    <row r="36" spans="1:10">
      <c r="A36" s="1" t="s">
        <v>114</v>
      </c>
      <c r="B36" s="1"/>
      <c r="C36" s="6">
        <f t="shared" si="0"/>
        <v>0</v>
      </c>
      <c r="D36" s="6">
        <f t="shared" si="1"/>
        <v>0</v>
      </c>
      <c r="E36" s="6">
        <f t="shared" si="2"/>
        <v>0</v>
      </c>
      <c r="F36" s="6">
        <f t="shared" si="3"/>
        <v>0</v>
      </c>
      <c r="G36" s="6">
        <f t="shared" si="4"/>
        <v>0</v>
      </c>
      <c r="H36" s="6">
        <f t="shared" si="5"/>
        <v>0</v>
      </c>
      <c r="I36" s="6">
        <f t="shared" si="6"/>
        <v>0</v>
      </c>
      <c r="J36" s="6">
        <f t="shared" si="7"/>
        <v>0</v>
      </c>
    </row>
    <row r="37" spans="1:10">
      <c r="A37" s="1" t="s">
        <v>115</v>
      </c>
      <c r="B37" s="1"/>
      <c r="C37" s="6">
        <f t="shared" si="0"/>
        <v>1</v>
      </c>
      <c r="D37" s="6">
        <f t="shared" si="1"/>
        <v>0</v>
      </c>
      <c r="E37" s="6">
        <f t="shared" si="2"/>
        <v>0</v>
      </c>
      <c r="F37" s="6">
        <f t="shared" si="3"/>
        <v>2</v>
      </c>
      <c r="G37" s="6">
        <f t="shared" si="4"/>
        <v>2</v>
      </c>
      <c r="H37" s="6">
        <f t="shared" si="5"/>
        <v>0</v>
      </c>
      <c r="I37" s="6">
        <f t="shared" si="6"/>
        <v>0</v>
      </c>
      <c r="J37" s="6">
        <f t="shared" si="7"/>
        <v>0</v>
      </c>
    </row>
    <row r="38" spans="1:10">
      <c r="A38" s="1" t="s">
        <v>116</v>
      </c>
      <c r="B38" s="1"/>
      <c r="C38" s="6">
        <f t="shared" si="0"/>
        <v>0</v>
      </c>
      <c r="D38" s="6">
        <f t="shared" si="1"/>
        <v>0</v>
      </c>
      <c r="E38" s="6">
        <f t="shared" si="2"/>
        <v>0</v>
      </c>
      <c r="F38" s="6">
        <f t="shared" si="3"/>
        <v>0</v>
      </c>
      <c r="G38" s="6">
        <f t="shared" si="4"/>
        <v>0</v>
      </c>
      <c r="H38" s="6">
        <f t="shared" si="5"/>
        <v>0</v>
      </c>
      <c r="I38" s="6">
        <f t="shared" si="6"/>
        <v>0</v>
      </c>
      <c r="J38" s="6">
        <f t="shared" si="7"/>
        <v>0</v>
      </c>
    </row>
    <row r="39" spans="1:10">
      <c r="C39" s="2">
        <f>SUM(C23:C38)</f>
        <v>9</v>
      </c>
      <c r="D39" s="2">
        <f>SUM(D23:D38)</f>
        <v>19</v>
      </c>
      <c r="E39" s="2">
        <f>SUM(E23:E38)</f>
        <v>8</v>
      </c>
      <c r="F39" s="2">
        <f t="shared" ref="F39:J39" si="8">SUM(F23:F38)</f>
        <v>9</v>
      </c>
      <c r="G39" s="2">
        <f t="shared" si="8"/>
        <v>9</v>
      </c>
      <c r="H39" s="2">
        <f t="shared" si="8"/>
        <v>8</v>
      </c>
      <c r="I39" s="2">
        <f t="shared" si="8"/>
        <v>12</v>
      </c>
      <c r="J39" s="2">
        <f t="shared" si="8"/>
        <v>20</v>
      </c>
    </row>
    <row r="42" spans="1:10">
      <c r="A42" t="s">
        <v>9</v>
      </c>
    </row>
    <row r="43" spans="1:10">
      <c r="A43" t="s">
        <v>10</v>
      </c>
    </row>
    <row r="44" spans="1:10">
      <c r="A44" t="s">
        <v>11</v>
      </c>
    </row>
    <row r="45" spans="1:10">
      <c r="A45" t="s">
        <v>12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0DE70-F3E9-4477-8D0C-9646FB459AB1}">
  <dimension ref="A1:L43"/>
  <sheetViews>
    <sheetView workbookViewId="0"/>
  </sheetViews>
  <sheetFormatPr defaultRowHeight="15"/>
  <cols>
    <col min="1" max="1" width="92.85546875" bestFit="1" customWidth="1"/>
    <col min="3" max="10" width="12.28515625" style="5" customWidth="1"/>
    <col min="12" max="12" width="10.28515625" bestFit="1" customWidth="1"/>
  </cols>
  <sheetData>
    <row r="1" spans="1:12" ht="15.75">
      <c r="A1" s="4" t="s">
        <v>51</v>
      </c>
      <c r="B1" s="1"/>
    </row>
    <row r="2" spans="1:12">
      <c r="A2" s="1" t="s">
        <v>52</v>
      </c>
      <c r="B2" s="1"/>
    </row>
    <row r="3" spans="1:12">
      <c r="A3" s="1" t="s">
        <v>0</v>
      </c>
      <c r="B3" s="1"/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</row>
    <row r="4" spans="1:12">
      <c r="A4" s="1" t="s">
        <v>53</v>
      </c>
      <c r="B4" s="1"/>
      <c r="C4" s="6">
        <f>VALUE(MID(A4, FIND("(", A4) + 1, FIND("-", A4, FIND("(", A4)) - FIND("(", A4) - 1))</f>
        <v>1</v>
      </c>
      <c r="D4" s="6">
        <f>VALUE(MID(A4, FIND("-", A4, FIND("(", A4)) + 1, FIND("-", A4, FIND("-", A4, FIND("(", A4)) + 1) - FIND("-", A4, FIND("(", A4)) - 1))</f>
        <v>0</v>
      </c>
      <c r="E4" s="6">
        <f>VALUE(MID(A4, FIND("-", A4, FIND("-", A4, FIND("(", A4)) + 1) + 1, FIND(")", A4) - FIND("-", A4, FIND("-", A4, FIND("(", A4)) + 1) - 1))</f>
        <v>1</v>
      </c>
      <c r="F4" s="6">
        <f>VALUE(TRIM(MID(SUBSTITUTE(TRIM(MID(A4, FIND(")", A4)+1, LEN(A4))), " ", REPT(" ", 100)), 1, 100)))</f>
        <v>0</v>
      </c>
      <c r="G4" s="6">
        <f>VALUE(TRIM(MID(SUBSTITUTE(TRIM(MID(A4, FIND(")", A4) + 1, LEN(A4))), " ", REPT(" ", 100)), 100, 100)))</f>
        <v>0</v>
      </c>
      <c r="H4" s="6">
        <f>VALUE(TRIM(MID(SUBSTITUTE(TRIM(MID(A4, FIND(")", A4)+1, LEN(A4))), " ", REPT(" ", 100)), 201, 100)))</f>
        <v>0</v>
      </c>
      <c r="I4" s="6">
        <f>VALUE(TRIM(MID(SUBSTITUTE(TRIM(MID(A4, FIND(")", A4)+1, LEN(A4))), " ", REPT(" ", 100)), 301, 100)))</f>
        <v>1</v>
      </c>
      <c r="J4" s="6">
        <f>VALUE(TRIM(MID(SUBSTITUTE(TRIM(MID(A4, FIND(")", A4)+1, LEN(A4))), " ", REPT(" ", 100)), 401, 100)))</f>
        <v>1</v>
      </c>
      <c r="L4" s="3"/>
    </row>
    <row r="5" spans="1:12">
      <c r="A5" s="1" t="s">
        <v>54</v>
      </c>
      <c r="B5" s="1"/>
      <c r="C5" s="6">
        <f>VALUE(MID(A5, FIND("(", A5) + 1, FIND("-", A5, FIND("(", A5)) - FIND("(", A5) - 1))</f>
        <v>0</v>
      </c>
      <c r="D5" s="6">
        <f>VALUE(MID(A5, FIND("-", A5, FIND("(", A5)) + 1, FIND("-", A5, FIND("-", A5, FIND("(", A5)) + 1) - FIND("-", A5, FIND("(", A5)) - 1))</f>
        <v>2</v>
      </c>
      <c r="E5" s="6">
        <f>VALUE(MID(A5, FIND("-", A5, FIND("-", A5, FIND("(", A5)) + 1) + 1, FIND(")", A5) - FIND("-", A5, FIND("-", A5, FIND("(", A5)) + 1) - 1))</f>
        <v>1</v>
      </c>
      <c r="F5" s="6">
        <f>VALUE(TRIM(MID(SUBSTITUTE(TRIM(MID(A5, FIND(")", A5)+1, LEN(A5))), " ", REPT(" ", 100)), 1, 100)))</f>
        <v>0</v>
      </c>
      <c r="G5" s="6">
        <f>VALUE(TRIM(MID(SUBSTITUTE(TRIM(MID(A5, FIND(")", A5) + 1, LEN(A5))), " ", REPT(" ", 100)), 100, 100)))</f>
        <v>1</v>
      </c>
      <c r="H5" s="6">
        <f>VALUE(TRIM(MID(SUBSTITUTE(TRIM(MID(A5, FIND(")", A5)+1, LEN(A5))), " ", REPT(" ", 100)), 201, 100)))</f>
        <v>0</v>
      </c>
      <c r="I5" s="6">
        <f>VALUE(TRIM(MID(SUBSTITUTE(TRIM(MID(A5, FIND(")", A5)+1, LEN(A5))), " ", REPT(" ", 100)), 301, 100)))</f>
        <v>2</v>
      </c>
      <c r="J5" s="6">
        <f>VALUE(TRIM(MID(SUBSTITUTE(TRIM(MID(A5, FIND(")", A5)+1, LEN(A5))), " ", REPT(" ", 100)), 401, 100)))</f>
        <v>2</v>
      </c>
      <c r="L5" s="3"/>
    </row>
    <row r="6" spans="1:12">
      <c r="A6" s="1" t="s">
        <v>55</v>
      </c>
      <c r="B6" s="1"/>
      <c r="C6" s="6">
        <f>VALUE(MID(A6, FIND("(", A6) + 1, FIND("-", A6, FIND("(", A6)) - FIND("(", A6) - 1))</f>
        <v>1</v>
      </c>
      <c r="D6" s="6">
        <f>VALUE(MID(A6, FIND("-", A6, FIND("(", A6)) + 1, FIND("-", A6, FIND("-", A6, FIND("(", A6)) + 1) - FIND("-", A6, FIND("(", A6)) - 1))</f>
        <v>3</v>
      </c>
      <c r="E6" s="6">
        <f>VALUE(MID(A6, FIND("-", A6, FIND("-", A6, FIND("(", A6)) + 1) + 1, FIND(")", A6) - FIND("-", A6, FIND("-", A6, FIND("(", A6)) + 1) - 1))</f>
        <v>1</v>
      </c>
      <c r="F6" s="6">
        <f>VALUE(TRIM(MID(SUBSTITUTE(TRIM(MID(A6, FIND(")", A6)+1, LEN(A6))), " ", REPT(" ", 100)), 1, 100)))</f>
        <v>1</v>
      </c>
      <c r="G6" s="6">
        <f>VALUE(TRIM(MID(SUBSTITUTE(TRIM(MID(A6, FIND(")", A6) + 1, LEN(A6))), " ", REPT(" ", 100)), 100, 100)))</f>
        <v>0</v>
      </c>
      <c r="H6" s="6">
        <f>VALUE(TRIM(MID(SUBSTITUTE(TRIM(MID(A6, FIND(")", A6)+1, LEN(A6))), " ", REPT(" ", 100)), 201, 100)))</f>
        <v>1</v>
      </c>
      <c r="I6" s="6">
        <f>VALUE(TRIM(MID(SUBSTITUTE(TRIM(MID(A6, FIND(")", A6)+1, LEN(A6))), " ", REPT(" ", 100)), 301, 100)))</f>
        <v>1</v>
      </c>
      <c r="J6" s="6">
        <f>VALUE(TRIM(MID(SUBSTITUTE(TRIM(MID(A6, FIND(")", A6)+1, LEN(A6))), " ", REPT(" ", 100)), 401, 100)))</f>
        <v>2</v>
      </c>
      <c r="L6" s="3"/>
    </row>
    <row r="7" spans="1:12">
      <c r="A7" s="1" t="s">
        <v>56</v>
      </c>
      <c r="B7" s="1"/>
      <c r="C7" s="6">
        <f>VALUE(MID(A7, FIND("(", A7) + 1, FIND("-", A7, FIND("(", A7)) - FIND("(", A7) - 1))</f>
        <v>3</v>
      </c>
      <c r="D7" s="6">
        <f>VALUE(MID(A7, FIND("-", A7, FIND("(", A7)) + 1, FIND("-", A7, FIND("-", A7, FIND("(", A7)) + 1) - FIND("-", A7, FIND("(", A7)) - 1))</f>
        <v>1</v>
      </c>
      <c r="E7" s="6">
        <f>VALUE(MID(A7, FIND("-", A7, FIND("-", A7, FIND("(", A7)) + 1) + 1, FIND(")", A7) - FIND("-", A7, FIND("-", A7, FIND("(", A7)) + 1) - 1))</f>
        <v>1</v>
      </c>
      <c r="F7" s="6">
        <f>VALUE(TRIM(MID(SUBSTITUTE(TRIM(MID(A7, FIND(")", A7)+1, LEN(A7))), " ", REPT(" ", 100)), 1, 100)))</f>
        <v>0</v>
      </c>
      <c r="G7" s="6">
        <f>VALUE(TRIM(MID(SUBSTITUTE(TRIM(MID(A7, FIND(")", A7) + 1, LEN(A7))), " ", REPT(" ", 100)), 100, 100)))</f>
        <v>0</v>
      </c>
      <c r="H7" s="6">
        <f>VALUE(TRIM(MID(SUBSTITUTE(TRIM(MID(A7, FIND(")", A7)+1, LEN(A7))), " ", REPT(" ", 100)), 201, 100)))</f>
        <v>0</v>
      </c>
      <c r="I7" s="6">
        <f>VALUE(TRIM(MID(SUBSTITUTE(TRIM(MID(A7, FIND(")", A7)+1, LEN(A7))), " ", REPT(" ", 100)), 301, 100)))</f>
        <v>0</v>
      </c>
      <c r="J7" s="6">
        <f>VALUE(TRIM(MID(SUBSTITUTE(TRIM(MID(A7, FIND(")", A7)+1, LEN(A7))), " ", REPT(" ", 100)), 401, 100)))</f>
        <v>0</v>
      </c>
      <c r="L7" s="3"/>
    </row>
    <row r="8" spans="1:12">
      <c r="A8" s="1" t="s">
        <v>57</v>
      </c>
      <c r="B8" s="1"/>
      <c r="C8" s="6">
        <f>VALUE(MID(A8, FIND("(", A8) + 1, FIND("-", A8, FIND("(", A8)) - FIND("(", A8) - 1))</f>
        <v>1</v>
      </c>
      <c r="D8" s="6">
        <f>VALUE(MID(A8, FIND("-", A8, FIND("(", A8)) + 1, FIND("-", A8, FIND("-", A8, FIND("(", A8)) + 1) - FIND("-", A8, FIND("(", A8)) - 1))</f>
        <v>1</v>
      </c>
      <c r="E8" s="6">
        <f>VALUE(MID(A8, FIND("-", A8, FIND("-", A8, FIND("(", A8)) + 1) + 1, FIND(")", A8) - FIND("-", A8, FIND("-", A8, FIND("(", A8)) + 1) - 1))</f>
        <v>1</v>
      </c>
      <c r="F8" s="6">
        <f>VALUE(TRIM(MID(SUBSTITUTE(TRIM(MID(A8, FIND(")", A8)+1, LEN(A8))), " ", REPT(" ", 100)), 1, 100)))</f>
        <v>1</v>
      </c>
      <c r="G8" s="6">
        <f>VALUE(TRIM(MID(SUBSTITUTE(TRIM(MID(A8, FIND(")", A8) + 1, LEN(A8))), " ", REPT(" ", 100)), 100, 100)))</f>
        <v>1</v>
      </c>
      <c r="H8" s="6">
        <f>VALUE(TRIM(MID(SUBSTITUTE(TRIM(MID(A8, FIND(")", A8)+1, LEN(A8))), " ", REPT(" ", 100)), 201, 100)))</f>
        <v>0</v>
      </c>
      <c r="I8" s="6">
        <f>VALUE(TRIM(MID(SUBSTITUTE(TRIM(MID(A8, FIND(")", A8)+1, LEN(A8))), " ", REPT(" ", 100)), 301, 100)))</f>
        <v>0</v>
      </c>
      <c r="J8" s="6">
        <f>VALUE(TRIM(MID(SUBSTITUTE(TRIM(MID(A8, FIND(")", A8)+1, LEN(A8))), " ", REPT(" ", 100)), 401, 100)))</f>
        <v>0</v>
      </c>
      <c r="L8" s="3"/>
    </row>
    <row r="9" spans="1:12">
      <c r="A9" s="1" t="s">
        <v>58</v>
      </c>
      <c r="B9" s="1"/>
      <c r="C9" s="6">
        <f>VALUE(MID(A9, FIND("(", A9) + 1, FIND("-", A9, FIND("(", A9)) - FIND("(", A9) - 1))</f>
        <v>0</v>
      </c>
      <c r="D9" s="6">
        <f>VALUE(MID(A9, FIND("-", A9, FIND("(", A9)) + 1, FIND("-", A9, FIND("-", A9, FIND("(", A9)) + 1) - FIND("-", A9, FIND("(", A9)) - 1))</f>
        <v>2</v>
      </c>
      <c r="E9" s="6">
        <f>VALUE(MID(A9, FIND("-", A9, FIND("-", A9, FIND("(", A9)) + 1) + 1, FIND(")", A9) - FIND("-", A9, FIND("-", A9, FIND("(", A9)) + 1) - 1))</f>
        <v>0</v>
      </c>
      <c r="F9" s="6">
        <f>VALUE(TRIM(MID(SUBSTITUTE(TRIM(MID(A9, FIND(")", A9)+1, LEN(A9))), " ", REPT(" ", 100)), 1, 100)))</f>
        <v>0</v>
      </c>
      <c r="G9" s="6">
        <f>VALUE(TRIM(MID(SUBSTITUTE(TRIM(MID(A9, FIND(")", A9) + 1, LEN(A9))), " ", REPT(" ", 100)), 100, 100)))</f>
        <v>0</v>
      </c>
      <c r="H9" s="6">
        <f>VALUE(TRIM(MID(SUBSTITUTE(TRIM(MID(A9, FIND(")", A9)+1, LEN(A9))), " ", REPT(" ", 100)), 201, 100)))</f>
        <v>0</v>
      </c>
      <c r="I9" s="6">
        <f>VALUE(TRIM(MID(SUBSTITUTE(TRIM(MID(A9, FIND(")", A9)+1, LEN(A9))), " ", REPT(" ", 100)), 301, 100)))</f>
        <v>0</v>
      </c>
      <c r="J9" s="6">
        <f>VALUE(TRIM(MID(SUBSTITUTE(TRIM(MID(A9, FIND(")", A9)+1, LEN(A9))), " ", REPT(" ", 100)), 401, 100)))</f>
        <v>0</v>
      </c>
      <c r="L9" s="3"/>
    </row>
    <row r="10" spans="1:12">
      <c r="A10" s="1" t="s">
        <v>59</v>
      </c>
      <c r="B10" s="1"/>
      <c r="C10" s="6">
        <f>VALUE(MID(A10, FIND("(", A10) + 1, FIND("-", A10, FIND("(", A10)) - FIND("(", A10) - 1))</f>
        <v>1</v>
      </c>
      <c r="D10" s="6">
        <f>VALUE(MID(A10, FIND("-", A10, FIND("(", A10)) + 1, FIND("-", A10, FIND("-", A10, FIND("(", A10)) + 1) - FIND("-", A10, FIND("(", A10)) - 1))</f>
        <v>0</v>
      </c>
      <c r="E10" s="6">
        <f>VALUE(MID(A10, FIND("-", A10, FIND("-", A10, FIND("(", A10)) + 1) + 1, FIND(")", A10) - FIND("-", A10, FIND("-", A10, FIND("(", A10)) + 1) - 1))</f>
        <v>0</v>
      </c>
      <c r="F10" s="6">
        <f>VALUE(TRIM(MID(SUBSTITUTE(TRIM(MID(A10, FIND(")", A10)+1, LEN(A10))), " ", REPT(" ", 100)), 1, 100)))</f>
        <v>0</v>
      </c>
      <c r="G10" s="6">
        <f>VALUE(TRIM(MID(SUBSTITUTE(TRIM(MID(A10, FIND(")", A10) + 1, LEN(A10))), " ", REPT(" ", 100)), 100, 100)))</f>
        <v>0</v>
      </c>
      <c r="H10" s="6">
        <f>VALUE(TRIM(MID(SUBSTITUTE(TRIM(MID(A10, FIND(")", A10)+1, LEN(A10))), " ", REPT(" ", 100)), 201, 100)))</f>
        <v>0</v>
      </c>
      <c r="I10" s="6">
        <f>VALUE(TRIM(MID(SUBSTITUTE(TRIM(MID(A10, FIND(")", A10)+1, LEN(A10))), " ", REPT(" ", 100)), 301, 100)))</f>
        <v>1</v>
      </c>
      <c r="J10" s="6">
        <f>VALUE(TRIM(MID(SUBSTITUTE(TRIM(MID(A10, FIND(")", A10)+1, LEN(A10))), " ", REPT(" ", 100)), 401, 100)))</f>
        <v>1</v>
      </c>
      <c r="L10" s="3"/>
    </row>
    <row r="11" spans="1:12">
      <c r="A11" s="1" t="s">
        <v>60</v>
      </c>
      <c r="B11" s="1"/>
      <c r="C11" s="6">
        <f>VALUE(MID(A11, FIND("(", A11) + 1, FIND("-", A11, FIND("(", A11)) - FIND("(", A11) - 1))</f>
        <v>1</v>
      </c>
      <c r="D11" s="6">
        <f>VALUE(MID(A11, FIND("-", A11, FIND("(", A11)) + 1, FIND("-", A11, FIND("-", A11, FIND("(", A11)) + 1) - FIND("-", A11, FIND("(", A11)) - 1))</f>
        <v>1</v>
      </c>
      <c r="E11" s="6">
        <f>VALUE(MID(A11, FIND("-", A11, FIND("-", A11, FIND("(", A11)) + 1) + 1, FIND(")", A11) - FIND("-", A11, FIND("-", A11, FIND("(", A11)) + 1) - 1))</f>
        <v>0</v>
      </c>
      <c r="F11" s="6">
        <f>VALUE(TRIM(MID(SUBSTITUTE(TRIM(MID(A11, FIND(")", A11)+1, LEN(A11))), " ", REPT(" ", 100)), 1, 100)))</f>
        <v>0</v>
      </c>
      <c r="G11" s="6">
        <f>VALUE(TRIM(MID(SUBSTITUTE(TRIM(MID(A11, FIND(")", A11) + 1, LEN(A11))), " ", REPT(" ", 100)), 100, 100)))</f>
        <v>1</v>
      </c>
      <c r="H11" s="6">
        <f>VALUE(TRIM(MID(SUBSTITUTE(TRIM(MID(A11, FIND(")", A11)+1, LEN(A11))), " ", REPT(" ", 100)), 201, 100)))</f>
        <v>0</v>
      </c>
      <c r="I11" s="6">
        <f>VALUE(TRIM(MID(SUBSTITUTE(TRIM(MID(A11, FIND(")", A11)+1, LEN(A11))), " ", REPT(" ", 100)), 301, 100)))</f>
        <v>0</v>
      </c>
      <c r="J11" s="6">
        <f>VALUE(TRIM(MID(SUBSTITUTE(TRIM(MID(A11, FIND(")", A11)+1, LEN(A11))), " ", REPT(" ", 100)), 401, 100)))</f>
        <v>0</v>
      </c>
      <c r="L11" s="3"/>
    </row>
    <row r="12" spans="1:12">
      <c r="A12" s="1" t="s">
        <v>61</v>
      </c>
      <c r="B12" s="1"/>
      <c r="C12" s="6">
        <f>VALUE(MID(A12, FIND("(", A12) + 1, FIND("-", A12, FIND("(", A12)) - FIND("(", A12) - 1))</f>
        <v>2</v>
      </c>
      <c r="D12" s="6">
        <f>VALUE(MID(A12, FIND("-", A12, FIND("(", A12)) + 1, FIND("-", A12, FIND("-", A12, FIND("(", A12)) + 1) - FIND("-", A12, FIND("(", A12)) - 1))</f>
        <v>0</v>
      </c>
      <c r="E12" s="6">
        <f>VALUE(MID(A12, FIND("-", A12, FIND("-", A12, FIND("(", A12)) + 1) + 1, FIND(")", A12) - FIND("-", A12, FIND("-", A12, FIND("(", A12)) + 1) - 1))</f>
        <v>0</v>
      </c>
      <c r="F12" s="6">
        <f>VALUE(TRIM(MID(SUBSTITUTE(TRIM(MID(A12, FIND(")", A12)+1, LEN(A12))), " ", REPT(" ", 100)), 1, 100)))</f>
        <v>2</v>
      </c>
      <c r="G12" s="6">
        <f>VALUE(TRIM(MID(SUBSTITUTE(TRIM(MID(A12, FIND(")", A12) + 1, LEN(A12))), " ", REPT(" ", 100)), 100, 100)))</f>
        <v>0</v>
      </c>
      <c r="H12" s="6">
        <f>VALUE(TRIM(MID(SUBSTITUTE(TRIM(MID(A12, FIND(")", A12)+1, LEN(A12))), " ", REPT(" ", 100)), 201, 100)))</f>
        <v>0</v>
      </c>
      <c r="I12" s="6">
        <f>VALUE(TRIM(MID(SUBSTITUTE(TRIM(MID(A12, FIND(")", A12)+1, LEN(A12))), " ", REPT(" ", 100)), 301, 100)))</f>
        <v>1</v>
      </c>
      <c r="J12" s="6">
        <f>VALUE(TRIM(MID(SUBSTITUTE(TRIM(MID(A12, FIND(")", A12)+1, LEN(A12))), " ", REPT(" ", 100)), 401, 100)))</f>
        <v>1</v>
      </c>
      <c r="L12" s="3"/>
    </row>
    <row r="13" spans="1:12">
      <c r="A13" s="1" t="s">
        <v>62</v>
      </c>
      <c r="B13" s="1"/>
      <c r="C13" s="6">
        <f>VALUE(MID(A13, FIND("(", A13) + 1, FIND("-", A13, FIND("(", A13)) - FIND("(", A13) - 1))</f>
        <v>0</v>
      </c>
      <c r="D13" s="6">
        <f>VALUE(MID(A13, FIND("-", A13, FIND("(", A13)) + 1, FIND("-", A13, FIND("-", A13, FIND("(", A13)) + 1) - FIND("-", A13, FIND("(", A13)) - 1))</f>
        <v>0</v>
      </c>
      <c r="E13" s="6">
        <f>VALUE(MID(A13, FIND("-", A13, FIND("-", A13, FIND("(", A13)) + 1) + 1, FIND(")", A13) - FIND("-", A13, FIND("-", A13, FIND("(", A13)) + 1) - 1))</f>
        <v>0</v>
      </c>
      <c r="F13" s="6">
        <f>VALUE(TRIM(MID(SUBSTITUTE(TRIM(MID(A13, FIND(")", A13)+1, LEN(A13))), " ", REPT(" ", 100)), 1, 100)))</f>
        <v>0</v>
      </c>
      <c r="G13" s="6">
        <f>VALUE(TRIM(MID(SUBSTITUTE(TRIM(MID(A13, FIND(")", A13) + 1, LEN(A13))), " ", REPT(" ", 100)), 100, 100)))</f>
        <v>1</v>
      </c>
      <c r="H13" s="6">
        <f>VALUE(TRIM(MID(SUBSTITUTE(TRIM(MID(A13, FIND(")", A13)+1, LEN(A13))), " ", REPT(" ", 100)), 201, 100)))</f>
        <v>0</v>
      </c>
      <c r="I13" s="6">
        <f>VALUE(TRIM(MID(SUBSTITUTE(TRIM(MID(A13, FIND(")", A13)+1, LEN(A13))), " ", REPT(" ", 100)), 301, 100)))</f>
        <v>0</v>
      </c>
      <c r="J13" s="6">
        <f>VALUE(TRIM(MID(SUBSTITUTE(TRIM(MID(A13, FIND(")", A13)+1, LEN(A13))), " ", REPT(" ", 100)), 401, 100)))</f>
        <v>0</v>
      </c>
      <c r="L13" s="3"/>
    </row>
    <row r="14" spans="1:12">
      <c r="A14" s="1" t="s">
        <v>63</v>
      </c>
      <c r="B14" s="1"/>
      <c r="C14" s="6">
        <f>VALUE(MID(A14, FIND("(", A14) + 1, FIND("-", A14, FIND("(", A14)) - FIND("(", A14) - 1))</f>
        <v>1</v>
      </c>
      <c r="D14" s="6">
        <f>VALUE(MID(A14, FIND("-", A14, FIND("(", A14)) + 1, FIND("-", A14, FIND("-", A14, FIND("(", A14)) + 1) - FIND("-", A14, FIND("(", A14)) - 1))</f>
        <v>1</v>
      </c>
      <c r="E14" s="6">
        <f>VALUE(MID(A14, FIND("-", A14, FIND("-", A14, FIND("(", A14)) + 1) + 1, FIND(")", A14) - FIND("-", A14, FIND("-", A14, FIND("(", A14)) + 1) - 1))</f>
        <v>0</v>
      </c>
      <c r="F14" s="6">
        <f>VALUE(TRIM(MID(SUBSTITUTE(TRIM(MID(A14, FIND(")", A14)+1, LEN(A14))), " ", REPT(" ", 100)), 1, 100)))</f>
        <v>3</v>
      </c>
      <c r="G14" s="6">
        <f>VALUE(TRIM(MID(SUBSTITUTE(TRIM(MID(A14, FIND(")", A14) + 1, LEN(A14))), " ", REPT(" ", 100)), 100, 100)))</f>
        <v>1</v>
      </c>
      <c r="H14" s="6">
        <f>VALUE(TRIM(MID(SUBSTITUTE(TRIM(MID(A14, FIND(")", A14)+1, LEN(A14))), " ", REPT(" ", 100)), 201, 100)))</f>
        <v>0</v>
      </c>
      <c r="I14" s="6">
        <f>VALUE(TRIM(MID(SUBSTITUTE(TRIM(MID(A14, FIND(")", A14)+1, LEN(A14))), " ", REPT(" ", 100)), 301, 100)))</f>
        <v>1</v>
      </c>
      <c r="J14" s="6">
        <f>VALUE(TRIM(MID(SUBSTITUTE(TRIM(MID(A14, FIND(")", A14)+1, LEN(A14))), " ", REPT(" ", 100)), 401, 100)))</f>
        <v>1</v>
      </c>
      <c r="L14" s="3"/>
    </row>
    <row r="15" spans="1:12">
      <c r="A15" s="1" t="s">
        <v>64</v>
      </c>
      <c r="B15" s="1"/>
      <c r="C15" s="6">
        <f>VALUE(MID(A15, FIND("(", A15) + 1, FIND("-", A15, FIND("(", A15)) - FIND("(", A15) - 1))</f>
        <v>0</v>
      </c>
      <c r="D15" s="6">
        <f>VALUE(MID(A15, FIND("-", A15, FIND("(", A15)) + 1, FIND("-", A15, FIND("-", A15, FIND("(", A15)) + 1) - FIND("-", A15, FIND("(", A15)) - 1))</f>
        <v>0</v>
      </c>
      <c r="E15" s="6">
        <f>VALUE(MID(A15, FIND("-", A15, FIND("-", A15, FIND("(", A15)) + 1) + 1, FIND(")", A15) - FIND("-", A15, FIND("-", A15, FIND("(", A15)) + 1) - 1))</f>
        <v>0</v>
      </c>
      <c r="F15" s="6">
        <f>VALUE(TRIM(MID(SUBSTITUTE(TRIM(MID(A15, FIND(")", A15)+1, LEN(A15))), " ", REPT(" ", 100)), 1, 100)))</f>
        <v>0</v>
      </c>
      <c r="G15" s="6">
        <f>VALUE(TRIM(MID(SUBSTITUTE(TRIM(MID(A15, FIND(")", A15) + 1, LEN(A15))), " ", REPT(" ", 100)), 100, 100)))</f>
        <v>0</v>
      </c>
      <c r="H15" s="6">
        <f>VALUE(TRIM(MID(SUBSTITUTE(TRIM(MID(A15, FIND(")", A15)+1, LEN(A15))), " ", REPT(" ", 100)), 201, 100)))</f>
        <v>0</v>
      </c>
      <c r="I15" s="6">
        <f>VALUE(TRIM(MID(SUBSTITUTE(TRIM(MID(A15, FIND(")", A15)+1, LEN(A15))), " ", REPT(" ", 100)), 301, 100)))</f>
        <v>0</v>
      </c>
      <c r="J15" s="6">
        <f>VALUE(TRIM(MID(SUBSTITUTE(TRIM(MID(A15, FIND(")", A15)+1, LEN(A15))), " ", REPT(" ", 100)), 401, 100)))</f>
        <v>0</v>
      </c>
      <c r="L15" s="3"/>
    </row>
    <row r="16" spans="1:12">
      <c r="A16" s="1" t="s">
        <v>65</v>
      </c>
      <c r="B16" s="1"/>
      <c r="C16" s="6">
        <f>VALUE(MID(A16, FIND("(", A16) + 1, FIND("-", A16, FIND("(", A16)) - FIND("(", A16) - 1))</f>
        <v>0</v>
      </c>
      <c r="D16" s="6">
        <f>VALUE(MID(A16, FIND("-", A16, FIND("(", A16)) + 1, FIND("-", A16, FIND("-", A16, FIND("(", A16)) + 1) - FIND("-", A16, FIND("(", A16)) - 1))</f>
        <v>0</v>
      </c>
      <c r="E16" s="6">
        <f>VALUE(MID(A16, FIND("-", A16, FIND("-", A16, FIND("(", A16)) + 1) + 1, FIND(")", A16) - FIND("-", A16, FIND("-", A16, FIND("(", A16)) + 1) - 1))</f>
        <v>0</v>
      </c>
      <c r="F16" s="6">
        <f>VALUE(TRIM(MID(SUBSTITUTE(TRIM(MID(A16, FIND(")", A16)+1, LEN(A16))), " ", REPT(" ", 100)), 1, 100)))</f>
        <v>0</v>
      </c>
      <c r="G16" s="6">
        <f>VALUE(TRIM(MID(SUBSTITUTE(TRIM(MID(A16, FIND(")", A16) + 1, LEN(A16))), " ", REPT(" ", 100)), 100, 100)))</f>
        <v>1</v>
      </c>
      <c r="H16" s="6">
        <f>VALUE(TRIM(MID(SUBSTITUTE(TRIM(MID(A16, FIND(")", A16)+1, LEN(A16))), " ", REPT(" ", 100)), 201, 100)))</f>
        <v>1</v>
      </c>
      <c r="I16" s="6">
        <f>VALUE(TRIM(MID(SUBSTITUTE(TRIM(MID(A16, FIND(")", A16)+1, LEN(A16))), " ", REPT(" ", 100)), 301, 100)))</f>
        <v>2</v>
      </c>
      <c r="J16" s="6">
        <f>VALUE(TRIM(MID(SUBSTITUTE(TRIM(MID(A16, FIND(")", A16)+1, LEN(A16))), " ", REPT(" ", 100)), 401, 100)))</f>
        <v>3</v>
      </c>
      <c r="L16" s="3"/>
    </row>
    <row r="17" spans="1:12">
      <c r="A17" s="1" t="s">
        <v>66</v>
      </c>
      <c r="B17" s="1"/>
      <c r="C17" s="6">
        <f>VALUE(MID(A17, FIND("(", A17) + 1, FIND("-", A17, FIND("(", A17)) - FIND("(", A17) - 1))</f>
        <v>0</v>
      </c>
      <c r="D17" s="6">
        <f>VALUE(MID(A17, FIND("-", A17, FIND("(", A17)) + 1, FIND("-", A17, FIND("-", A17, FIND("(", A17)) + 1) - FIND("-", A17, FIND("(", A17)) - 1))</f>
        <v>0</v>
      </c>
      <c r="E17" s="6">
        <f>VALUE(MID(A17, FIND("-", A17, FIND("-", A17, FIND("(", A17)) + 1) + 1, FIND(")", A17) - FIND("-", A17, FIND("-", A17, FIND("(", A17)) + 1) - 1))</f>
        <v>0</v>
      </c>
      <c r="F17" s="6">
        <f>VALUE(TRIM(MID(SUBSTITUTE(TRIM(MID(A17, FIND(")", A17)+1, LEN(A17))), " ", REPT(" ", 100)), 1, 100)))</f>
        <v>0</v>
      </c>
      <c r="G17" s="6">
        <f>VALUE(TRIM(MID(SUBSTITUTE(TRIM(MID(A17, FIND(")", A17) + 1, LEN(A17))), " ", REPT(" ", 100)), 100, 100)))</f>
        <v>1</v>
      </c>
      <c r="H17" s="6">
        <f>VALUE(TRIM(MID(SUBSTITUTE(TRIM(MID(A17, FIND(")", A17)+1, LEN(A17))), " ", REPT(" ", 100)), 201, 100)))</f>
        <v>0</v>
      </c>
      <c r="I17" s="6">
        <f>VALUE(TRIM(MID(SUBSTITUTE(TRIM(MID(A17, FIND(")", A17)+1, LEN(A17))), " ", REPT(" ", 100)), 301, 100)))</f>
        <v>1</v>
      </c>
      <c r="J17" s="6">
        <f>VALUE(TRIM(MID(SUBSTITUTE(TRIM(MID(A17, FIND(")", A17)+1, LEN(A17))), " ", REPT(" ", 100)), 401, 100)))</f>
        <v>1</v>
      </c>
      <c r="L17" s="3"/>
    </row>
    <row r="18" spans="1:12">
      <c r="A18" s="1" t="s">
        <v>67</v>
      </c>
      <c r="B18" s="1"/>
      <c r="C18" s="6">
        <f>VALUE(MID(A18, FIND("(", A18) + 1, FIND("-", A18, FIND("(", A18)) - FIND("(", A18) - 1))</f>
        <v>0</v>
      </c>
      <c r="D18" s="6">
        <f>VALUE(MID(A18, FIND("-", A18, FIND("(", A18)) + 1, FIND("-", A18, FIND("-", A18, FIND("(", A18)) + 1) - FIND("-", A18, FIND("(", A18)) - 1))</f>
        <v>0</v>
      </c>
      <c r="E18" s="6">
        <f>VALUE(MID(A18, FIND("-", A18, FIND("-", A18, FIND("(", A18)) + 1) + 1, FIND(")", A18) - FIND("-", A18, FIND("-", A18, FIND("(", A18)) + 1) - 1))</f>
        <v>0</v>
      </c>
      <c r="F18" s="6">
        <f>VALUE(TRIM(MID(SUBSTITUTE(TRIM(MID(A18, FIND(")", A18)+1, LEN(A18))), " ", REPT(" ", 100)), 1, 100)))</f>
        <v>0</v>
      </c>
      <c r="G18" s="6">
        <f>VALUE(TRIM(MID(SUBSTITUTE(TRIM(MID(A18, FIND(")", A18) + 1, LEN(A18))), " ", REPT(" ", 100)), 100, 100)))</f>
        <v>1</v>
      </c>
      <c r="H18" s="6">
        <f>VALUE(TRIM(MID(SUBSTITUTE(TRIM(MID(A18, FIND(")", A18)+1, LEN(A18))), " ", REPT(" ", 100)), 201, 100)))</f>
        <v>0</v>
      </c>
      <c r="I18" s="6">
        <f>VALUE(TRIM(MID(SUBSTITUTE(TRIM(MID(A18, FIND(")", A18)+1, LEN(A18))), " ", REPT(" ", 100)), 301, 100)))</f>
        <v>0</v>
      </c>
      <c r="J18" s="6">
        <f>VALUE(TRIM(MID(SUBSTITUTE(TRIM(MID(A18, FIND(")", A18)+1, LEN(A18))), " ", REPT(" ", 100)), 401, 100)))</f>
        <v>0</v>
      </c>
      <c r="L18" s="3"/>
    </row>
    <row r="19" spans="1:12">
      <c r="A19" s="1"/>
      <c r="B19" s="1"/>
      <c r="C19" s="2">
        <f>SUM(C4:C18)</f>
        <v>11</v>
      </c>
      <c r="D19" s="2">
        <f>SUM(D4:D18)</f>
        <v>11</v>
      </c>
      <c r="E19" s="2">
        <f>SUM(E4:E18)</f>
        <v>5</v>
      </c>
      <c r="F19" s="2">
        <f>SUM(F4:F18)</f>
        <v>7</v>
      </c>
      <c r="G19" s="2">
        <f>SUM(G4:G18)</f>
        <v>8</v>
      </c>
      <c r="H19" s="2">
        <f>SUM(H4:H18)</f>
        <v>2</v>
      </c>
      <c r="I19" s="2">
        <f>SUM(I4:I18)</f>
        <v>10</v>
      </c>
      <c r="J19" s="2">
        <f>SUM(J4:J18)</f>
        <v>12</v>
      </c>
      <c r="L19" s="3"/>
    </row>
    <row r="20" spans="1:12">
      <c r="A20" s="1" t="s">
        <v>68</v>
      </c>
      <c r="B20" s="1"/>
    </row>
    <row r="21" spans="1:12">
      <c r="A21" s="1" t="s">
        <v>0</v>
      </c>
      <c r="B21" s="1"/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  <c r="I21" s="5" t="s">
        <v>7</v>
      </c>
      <c r="J21" s="5" t="s">
        <v>8</v>
      </c>
    </row>
    <row r="22" spans="1:12">
      <c r="A22" s="1" t="s">
        <v>69</v>
      </c>
      <c r="B22" s="1"/>
      <c r="C22" s="6">
        <f>VALUE(MID(A22, FIND("(", A22) + 1, FIND("-", A22, FIND("(", A22)) - FIND("(", A22) - 1))</f>
        <v>1</v>
      </c>
      <c r="D22" s="6">
        <f>VALUE(MID(A22, FIND("-", A22, FIND("(", A22)) + 1, FIND("-", A22, FIND("-", A22, FIND("(", A22)) + 1) - FIND("-", A22, FIND("(", A22)) - 1))</f>
        <v>2</v>
      </c>
      <c r="E22" s="6">
        <f>VALUE(MID(A22, FIND("-", A22, FIND("-", A22, FIND("(", A22)) + 1) + 1, FIND(")", A22) - FIND("-", A22, FIND("-", A22, FIND("(", A22)) + 1) - 1))</f>
        <v>1</v>
      </c>
      <c r="F22" s="6">
        <f>VALUE(TRIM(MID(SUBSTITUTE(TRIM(MID(A22, FIND(")", A22)+1, LEN(A22))), " ", REPT(" ", 100)), 1, 100)))</f>
        <v>0</v>
      </c>
      <c r="G22" s="6">
        <f>VALUE(TRIM(MID(SUBSTITUTE(TRIM(MID(A22, FIND(")", A22) + 1, LEN(A22))), " ", REPT(" ", 100)), 100, 100)))</f>
        <v>1</v>
      </c>
      <c r="H22" s="6">
        <f>VALUE(TRIM(MID(SUBSTITUTE(TRIM(MID(A22, FIND(")", A22)+1, LEN(A22))), " ", REPT(" ", 100)), 201, 100)))</f>
        <v>0</v>
      </c>
      <c r="I22" s="6">
        <f>VALUE(TRIM(MID(SUBSTITUTE(TRIM(MID(A22, FIND(")", A22)+1, LEN(A22))), " ", REPT(" ", 100)), 301, 100)))</f>
        <v>0</v>
      </c>
      <c r="J22" s="6">
        <f>VALUE(TRIM(MID(SUBSTITUTE(TRIM(MID(A22, FIND(")", A22)+1, LEN(A22))), " ", REPT(" ", 100)), 401, 100)))</f>
        <v>0</v>
      </c>
    </row>
    <row r="23" spans="1:12">
      <c r="A23" s="1" t="s">
        <v>70</v>
      </c>
      <c r="B23" s="1"/>
      <c r="C23" s="6">
        <f t="shared" ref="C23:C36" si="0">VALUE(MID(A23, FIND("(", A23) + 1, FIND("-", A23, FIND("(", A23)) - FIND("(", A23) - 1))</f>
        <v>1</v>
      </c>
      <c r="D23" s="6">
        <f t="shared" ref="D23:D36" si="1">VALUE(MID(A23, FIND("-", A23, FIND("(", A23)) + 1, FIND("-", A23, FIND("-", A23, FIND("(", A23)) + 1) - FIND("-", A23, FIND("(", A23)) - 1))</f>
        <v>0</v>
      </c>
      <c r="E23" s="6">
        <f t="shared" ref="E23:E36" si="2">VALUE(MID(A23, FIND("-", A23, FIND("-", A23, FIND("(", A23)) + 1) + 1, FIND(")", A23) - FIND("-", A23, FIND("-", A23, FIND("(", A23)) + 1) - 1))</f>
        <v>0</v>
      </c>
      <c r="F23" s="6">
        <f t="shared" ref="F23:F36" si="3">VALUE(TRIM(MID(SUBSTITUTE(TRIM(MID(A23, FIND(")", A23)+1, LEN(A23))), " ", REPT(" ", 100)), 1, 100)))</f>
        <v>1</v>
      </c>
      <c r="G23" s="6">
        <f t="shared" ref="G23:G36" si="4">VALUE(TRIM(MID(SUBSTITUTE(TRIM(MID(A23, FIND(")", A23) + 1, LEN(A23))), " ", REPT(" ", 100)), 100, 100)))</f>
        <v>0</v>
      </c>
      <c r="H23" s="6">
        <f t="shared" ref="H23:H36" si="5">VALUE(TRIM(MID(SUBSTITUTE(TRIM(MID(A23, FIND(")", A23)+1, LEN(A23))), " ", REPT(" ", 100)), 201, 100)))</f>
        <v>0</v>
      </c>
      <c r="I23" s="6">
        <f t="shared" ref="I23:I36" si="6">VALUE(TRIM(MID(SUBSTITUTE(TRIM(MID(A23, FIND(")", A23)+1, LEN(A23))), " ", REPT(" ", 100)), 301, 100)))</f>
        <v>1</v>
      </c>
      <c r="J23" s="6">
        <f t="shared" ref="J23:J36" si="7">VALUE(TRIM(MID(SUBSTITUTE(TRIM(MID(A23, FIND(")", A23)+1, LEN(A23))), " ", REPT(" ", 100)), 401, 100)))</f>
        <v>1</v>
      </c>
    </row>
    <row r="24" spans="1:12">
      <c r="A24" s="1" t="s">
        <v>71</v>
      </c>
      <c r="B24" s="1"/>
      <c r="C24" s="6">
        <f t="shared" si="0"/>
        <v>0</v>
      </c>
      <c r="D24" s="6">
        <f t="shared" si="1"/>
        <v>3</v>
      </c>
      <c r="E24" s="6">
        <f t="shared" si="2"/>
        <v>0</v>
      </c>
      <c r="F24" s="6">
        <f t="shared" si="3"/>
        <v>1</v>
      </c>
      <c r="G24" s="6">
        <f t="shared" si="4"/>
        <v>0</v>
      </c>
      <c r="H24" s="6">
        <f t="shared" si="5"/>
        <v>0</v>
      </c>
      <c r="I24" s="6">
        <f t="shared" si="6"/>
        <v>1</v>
      </c>
      <c r="J24" s="6">
        <f t="shared" si="7"/>
        <v>1</v>
      </c>
    </row>
    <row r="25" spans="1:12">
      <c r="A25" s="1" t="s">
        <v>72</v>
      </c>
      <c r="B25" s="1"/>
      <c r="C25" s="6">
        <f t="shared" si="0"/>
        <v>1</v>
      </c>
      <c r="D25" s="6">
        <f t="shared" si="1"/>
        <v>1</v>
      </c>
      <c r="E25" s="6">
        <f t="shared" si="2"/>
        <v>1</v>
      </c>
      <c r="F25" s="6">
        <f t="shared" si="3"/>
        <v>2</v>
      </c>
      <c r="G25" s="6">
        <f t="shared" si="4"/>
        <v>1</v>
      </c>
      <c r="H25" s="6">
        <f t="shared" si="5"/>
        <v>0</v>
      </c>
      <c r="I25" s="6">
        <f t="shared" si="6"/>
        <v>2</v>
      </c>
      <c r="J25" s="6">
        <f t="shared" si="7"/>
        <v>2</v>
      </c>
    </row>
    <row r="26" spans="1:12">
      <c r="A26" s="1" t="s">
        <v>73</v>
      </c>
      <c r="B26" s="1"/>
      <c r="C26" s="6">
        <f t="shared" si="0"/>
        <v>2</v>
      </c>
      <c r="D26" s="6">
        <f t="shared" si="1"/>
        <v>1</v>
      </c>
      <c r="E26" s="6">
        <f t="shared" si="2"/>
        <v>2</v>
      </c>
      <c r="F26" s="6">
        <f t="shared" si="3"/>
        <v>1</v>
      </c>
      <c r="G26" s="6">
        <f t="shared" si="4"/>
        <v>0</v>
      </c>
      <c r="H26" s="6">
        <f t="shared" si="5"/>
        <v>0</v>
      </c>
      <c r="I26" s="6">
        <f t="shared" si="6"/>
        <v>0</v>
      </c>
      <c r="J26" s="6">
        <f t="shared" si="7"/>
        <v>0</v>
      </c>
    </row>
    <row r="27" spans="1:12">
      <c r="A27" s="1" t="s">
        <v>74</v>
      </c>
      <c r="B27" s="1"/>
      <c r="C27" s="6">
        <f t="shared" si="0"/>
        <v>0</v>
      </c>
      <c r="D27" s="6">
        <f t="shared" si="1"/>
        <v>2</v>
      </c>
      <c r="E27" s="6">
        <f t="shared" si="2"/>
        <v>0</v>
      </c>
      <c r="F27" s="6">
        <f t="shared" si="3"/>
        <v>1</v>
      </c>
      <c r="G27" s="6">
        <f t="shared" si="4"/>
        <v>0</v>
      </c>
      <c r="H27" s="6">
        <f t="shared" si="5"/>
        <v>0</v>
      </c>
      <c r="I27" s="6">
        <f t="shared" si="6"/>
        <v>2</v>
      </c>
      <c r="J27" s="6">
        <f t="shared" si="7"/>
        <v>2</v>
      </c>
    </row>
    <row r="28" spans="1:12">
      <c r="A28" s="1" t="s">
        <v>75</v>
      </c>
      <c r="B28" s="1"/>
      <c r="C28" s="6">
        <f t="shared" si="0"/>
        <v>3</v>
      </c>
      <c r="D28" s="6">
        <f t="shared" si="1"/>
        <v>0</v>
      </c>
      <c r="E28" s="6">
        <f t="shared" si="2"/>
        <v>2</v>
      </c>
      <c r="F28" s="6">
        <f t="shared" si="3"/>
        <v>1</v>
      </c>
      <c r="G28" s="6">
        <f t="shared" si="4"/>
        <v>0</v>
      </c>
      <c r="H28" s="6">
        <f t="shared" si="5"/>
        <v>0</v>
      </c>
      <c r="I28" s="6">
        <f t="shared" si="6"/>
        <v>0</v>
      </c>
      <c r="J28" s="6">
        <f t="shared" si="7"/>
        <v>0</v>
      </c>
    </row>
    <row r="29" spans="1:12">
      <c r="A29" s="1" t="s">
        <v>76</v>
      </c>
      <c r="B29" s="1"/>
      <c r="C29" s="6">
        <f t="shared" si="0"/>
        <v>0</v>
      </c>
      <c r="D29" s="6">
        <f t="shared" si="1"/>
        <v>0</v>
      </c>
      <c r="E29" s="6">
        <f t="shared" si="2"/>
        <v>0</v>
      </c>
      <c r="F29" s="6">
        <f t="shared" si="3"/>
        <v>0</v>
      </c>
      <c r="G29" s="6">
        <f t="shared" si="4"/>
        <v>1</v>
      </c>
      <c r="H29" s="6">
        <f t="shared" si="5"/>
        <v>0</v>
      </c>
      <c r="I29" s="6">
        <f t="shared" si="6"/>
        <v>0</v>
      </c>
      <c r="J29" s="6">
        <f t="shared" si="7"/>
        <v>0</v>
      </c>
    </row>
    <row r="30" spans="1:12">
      <c r="A30" s="1" t="s">
        <v>77</v>
      </c>
      <c r="B30" s="1"/>
      <c r="C30" s="6">
        <f t="shared" si="0"/>
        <v>0</v>
      </c>
      <c r="D30" s="6">
        <f t="shared" si="1"/>
        <v>1</v>
      </c>
      <c r="E30" s="6">
        <f t="shared" si="2"/>
        <v>0</v>
      </c>
      <c r="F30" s="6">
        <f t="shared" si="3"/>
        <v>0</v>
      </c>
      <c r="G30" s="6">
        <f t="shared" si="4"/>
        <v>0</v>
      </c>
      <c r="H30" s="6">
        <f t="shared" si="5"/>
        <v>0</v>
      </c>
      <c r="I30" s="6">
        <f t="shared" si="6"/>
        <v>1</v>
      </c>
      <c r="J30" s="6">
        <f t="shared" si="7"/>
        <v>1</v>
      </c>
    </row>
    <row r="31" spans="1:12">
      <c r="A31" s="1" t="s">
        <v>78</v>
      </c>
      <c r="B31" s="1"/>
      <c r="C31" s="6">
        <f t="shared" si="0"/>
        <v>0</v>
      </c>
      <c r="D31" s="6">
        <f t="shared" si="1"/>
        <v>1</v>
      </c>
      <c r="E31" s="6">
        <f t="shared" si="2"/>
        <v>0</v>
      </c>
      <c r="F31" s="6">
        <f t="shared" si="3"/>
        <v>0</v>
      </c>
      <c r="G31" s="6">
        <f t="shared" si="4"/>
        <v>0</v>
      </c>
      <c r="H31" s="6">
        <f t="shared" si="5"/>
        <v>0</v>
      </c>
      <c r="I31" s="6">
        <f t="shared" si="6"/>
        <v>0</v>
      </c>
      <c r="J31" s="6">
        <f t="shared" si="7"/>
        <v>0</v>
      </c>
    </row>
    <row r="32" spans="1:12">
      <c r="A32" s="1" t="s">
        <v>79</v>
      </c>
      <c r="B32" s="1"/>
      <c r="C32" s="6">
        <f t="shared" si="0"/>
        <v>0</v>
      </c>
      <c r="D32" s="6">
        <f t="shared" si="1"/>
        <v>0</v>
      </c>
      <c r="E32" s="6">
        <f t="shared" si="2"/>
        <v>1</v>
      </c>
      <c r="F32" s="6">
        <f t="shared" si="3"/>
        <v>0</v>
      </c>
      <c r="G32" s="6">
        <f t="shared" si="4"/>
        <v>1</v>
      </c>
      <c r="H32" s="6">
        <f t="shared" si="5"/>
        <v>0</v>
      </c>
      <c r="I32" s="6">
        <f t="shared" si="6"/>
        <v>2</v>
      </c>
      <c r="J32" s="6">
        <f t="shared" si="7"/>
        <v>2</v>
      </c>
    </row>
    <row r="33" spans="1:10">
      <c r="A33" s="1" t="s">
        <v>80</v>
      </c>
      <c r="B33" s="1"/>
      <c r="C33" s="6">
        <f t="shared" si="0"/>
        <v>0</v>
      </c>
      <c r="D33" s="6">
        <f t="shared" si="1"/>
        <v>0</v>
      </c>
      <c r="E33" s="6">
        <f t="shared" si="2"/>
        <v>0</v>
      </c>
      <c r="F33" s="6">
        <f t="shared" si="3"/>
        <v>0</v>
      </c>
      <c r="G33" s="6">
        <f t="shared" si="4"/>
        <v>0</v>
      </c>
      <c r="H33" s="6">
        <f t="shared" si="5"/>
        <v>0</v>
      </c>
      <c r="I33" s="6">
        <f t="shared" si="6"/>
        <v>1</v>
      </c>
      <c r="J33" s="6">
        <f t="shared" si="7"/>
        <v>1</v>
      </c>
    </row>
    <row r="34" spans="1:10">
      <c r="A34" s="1" t="s">
        <v>81</v>
      </c>
      <c r="B34" s="1"/>
      <c r="C34" s="6">
        <f t="shared" si="0"/>
        <v>0</v>
      </c>
      <c r="D34" s="6">
        <f t="shared" si="1"/>
        <v>0</v>
      </c>
      <c r="E34" s="6">
        <f t="shared" si="2"/>
        <v>0</v>
      </c>
      <c r="F34" s="6">
        <f t="shared" si="3"/>
        <v>0</v>
      </c>
      <c r="G34" s="6">
        <f t="shared" si="4"/>
        <v>0</v>
      </c>
      <c r="H34" s="6">
        <f t="shared" si="5"/>
        <v>1</v>
      </c>
      <c r="I34" s="6">
        <f t="shared" si="6"/>
        <v>0</v>
      </c>
      <c r="J34" s="6">
        <f t="shared" si="7"/>
        <v>1</v>
      </c>
    </row>
    <row r="35" spans="1:10">
      <c r="A35" s="1" t="s">
        <v>82</v>
      </c>
      <c r="B35" s="1"/>
      <c r="C35" s="6">
        <f t="shared" si="0"/>
        <v>0</v>
      </c>
      <c r="D35" s="6">
        <f t="shared" si="1"/>
        <v>0</v>
      </c>
      <c r="E35" s="6">
        <f t="shared" si="2"/>
        <v>0</v>
      </c>
      <c r="F35" s="6">
        <f t="shared" si="3"/>
        <v>2</v>
      </c>
      <c r="G35" s="6">
        <f t="shared" si="4"/>
        <v>0</v>
      </c>
      <c r="H35" s="6">
        <f t="shared" si="5"/>
        <v>0</v>
      </c>
      <c r="I35" s="6">
        <f t="shared" si="6"/>
        <v>0</v>
      </c>
      <c r="J35" s="6">
        <f t="shared" si="7"/>
        <v>0</v>
      </c>
    </row>
    <row r="36" spans="1:10">
      <c r="A36" s="1" t="s">
        <v>83</v>
      </c>
      <c r="B36" s="1"/>
      <c r="C36" s="6">
        <f t="shared" si="0"/>
        <v>1</v>
      </c>
      <c r="D36" s="6">
        <f t="shared" si="1"/>
        <v>0</v>
      </c>
      <c r="E36" s="6">
        <f t="shared" si="2"/>
        <v>0</v>
      </c>
      <c r="F36" s="6">
        <f t="shared" si="3"/>
        <v>2</v>
      </c>
      <c r="G36" s="6">
        <f t="shared" si="4"/>
        <v>2</v>
      </c>
      <c r="H36" s="6">
        <f t="shared" si="5"/>
        <v>0</v>
      </c>
      <c r="I36" s="6">
        <f t="shared" si="6"/>
        <v>1</v>
      </c>
      <c r="J36" s="6">
        <f t="shared" si="7"/>
        <v>1</v>
      </c>
    </row>
    <row r="37" spans="1:10">
      <c r="C37" s="2">
        <f>SUM(C22:C36)</f>
        <v>9</v>
      </c>
      <c r="D37" s="2">
        <f>SUM(D22:D36)</f>
        <v>11</v>
      </c>
      <c r="E37" s="2">
        <f>SUM(E22:E36)</f>
        <v>7</v>
      </c>
      <c r="F37" s="2">
        <f t="shared" ref="F37:J37" si="8">SUM(F22:F36)</f>
        <v>11</v>
      </c>
      <c r="G37" s="2">
        <f t="shared" si="8"/>
        <v>6</v>
      </c>
      <c r="H37" s="2">
        <f t="shared" si="8"/>
        <v>1</v>
      </c>
      <c r="I37" s="2">
        <f t="shared" si="8"/>
        <v>11</v>
      </c>
      <c r="J37" s="2">
        <f t="shared" si="8"/>
        <v>12</v>
      </c>
    </row>
    <row r="40" spans="1:10">
      <c r="A40" t="s">
        <v>9</v>
      </c>
    </row>
    <row r="41" spans="1:10">
      <c r="A41" t="s">
        <v>10</v>
      </c>
    </row>
    <row r="42" spans="1:10">
      <c r="A42" t="s">
        <v>11</v>
      </c>
    </row>
    <row r="43" spans="1:10">
      <c r="A43" t="s">
        <v>12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18 skaters</vt:lpstr>
      <vt:lpstr>17 skaters</vt:lpstr>
      <vt:lpstr>16 skaters</vt:lpstr>
      <vt:lpstr>15 skaters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halleran801@outlook.com</dc:creator>
  <cp:lastModifiedBy>halleran801@outlook.com</cp:lastModifiedBy>
  <dcterms:created xsi:type="dcterms:W3CDTF">2025-12-13T13:21:20Z</dcterms:created>
  <dcterms:modified xsi:type="dcterms:W3CDTF">2025-12-16T13:08:14Z</dcterms:modified>
</cp:coreProperties>
</file>